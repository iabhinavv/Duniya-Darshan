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navverma/Downloads/Claude/Traveller Budget App/"/>
    </mc:Choice>
  </mc:AlternateContent>
  <xr:revisionPtr revIDLastSave="0" documentId="13_ncr:1_{AC0B0FD6-1557-1748-A385-E11A51DF45AA}" xr6:coauthVersionLast="47" xr6:coauthVersionMax="47" xr10:uidLastSave="{00000000-0000-0000-0000-000000000000}"/>
  <bookViews>
    <workbookView xWindow="0" yWindow="660" windowWidth="29400" windowHeight="16940" xr2:uid="{9D753A59-175F-1B48-B19A-971E3F3A2722}"/>
  </bookViews>
  <sheets>
    <sheet name="World Tour Budg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" i="2" l="1"/>
  <c r="O94" i="2"/>
  <c r="K58" i="2"/>
  <c r="J46" i="2"/>
  <c r="K34" i="2"/>
  <c r="K30" i="2"/>
  <c r="L26" i="2"/>
  <c r="K26" i="2"/>
  <c r="J26" i="2"/>
  <c r="K6" i="2"/>
  <c r="H6" i="2" s="1"/>
  <c r="J4" i="2"/>
  <c r="K4" i="2"/>
  <c r="L4" i="2"/>
  <c r="M4" i="2"/>
  <c r="N4" i="2"/>
  <c r="N2" i="2" s="1"/>
  <c r="O4" i="2"/>
  <c r="O2" i="2" s="1"/>
  <c r="P4" i="2"/>
  <c r="Q4" i="2"/>
  <c r="Q2" i="2" s="1"/>
  <c r="I4" i="2"/>
  <c r="I2" i="2" s="1"/>
  <c r="H18" i="2"/>
  <c r="G18" i="2" s="1"/>
  <c r="H19" i="2"/>
  <c r="G19" i="2" s="1"/>
  <c r="H20" i="2"/>
  <c r="G20" i="2" s="1"/>
  <c r="H21" i="2"/>
  <c r="G21" i="2" s="1"/>
  <c r="H22" i="2"/>
  <c r="G22" i="2" s="1"/>
  <c r="H23" i="2"/>
  <c r="G23" i="2" s="1"/>
  <c r="H24" i="2"/>
  <c r="G24" i="2" s="1"/>
  <c r="K158" i="2"/>
  <c r="J158" i="2"/>
  <c r="K154" i="2"/>
  <c r="M154" i="2"/>
  <c r="H154" i="2" s="1"/>
  <c r="J150" i="2"/>
  <c r="H150" i="2" s="1"/>
  <c r="L142" i="2"/>
  <c r="K142" i="2"/>
  <c r="J142" i="2"/>
  <c r="K138" i="2"/>
  <c r="H138" i="2" s="1"/>
  <c r="M130" i="2"/>
  <c r="H130" i="2" s="1"/>
  <c r="L130" i="2"/>
  <c r="K130" i="2"/>
  <c r="J130" i="2"/>
  <c r="L126" i="2"/>
  <c r="K126" i="2"/>
  <c r="J126" i="2"/>
  <c r="H126" i="2" s="1"/>
  <c r="M122" i="2"/>
  <c r="L122" i="2"/>
  <c r="K122" i="2"/>
  <c r="J122" i="2"/>
  <c r="P118" i="2"/>
  <c r="H118" i="2" s="1"/>
  <c r="J118" i="2"/>
  <c r="L118" i="2"/>
  <c r="K118" i="2"/>
  <c r="H159" i="2"/>
  <c r="H160" i="2" s="1"/>
  <c r="H158" i="2"/>
  <c r="H155" i="2"/>
  <c r="H156" i="2" s="1"/>
  <c r="H151" i="2"/>
  <c r="H152" i="2" s="1"/>
  <c r="H147" i="2"/>
  <c r="H148" i="2" s="1"/>
  <c r="H146" i="2"/>
  <c r="H143" i="2"/>
  <c r="H144" i="2" s="1"/>
  <c r="H139" i="2"/>
  <c r="H140" i="2" s="1"/>
  <c r="H135" i="2"/>
  <c r="H136" i="2" s="1"/>
  <c r="H134" i="2"/>
  <c r="H131" i="2"/>
  <c r="H132" i="2" s="1"/>
  <c r="H127" i="2"/>
  <c r="H128" i="2" s="1"/>
  <c r="H123" i="2"/>
  <c r="H124" i="2" s="1"/>
  <c r="H119" i="2"/>
  <c r="H120" i="2" s="1"/>
  <c r="H115" i="2"/>
  <c r="H116" i="2" s="1"/>
  <c r="H114" i="2"/>
  <c r="H111" i="2"/>
  <c r="H112" i="2" s="1"/>
  <c r="H110" i="2"/>
  <c r="H107" i="2"/>
  <c r="H108" i="2" s="1"/>
  <c r="H106" i="2"/>
  <c r="H103" i="2"/>
  <c r="H104" i="2" s="1"/>
  <c r="H102" i="2"/>
  <c r="H99" i="2"/>
  <c r="H100" i="2" s="1"/>
  <c r="H98" i="2"/>
  <c r="H95" i="2"/>
  <c r="H96" i="2" s="1"/>
  <c r="H94" i="2"/>
  <c r="H91" i="2"/>
  <c r="H92" i="2" s="1"/>
  <c r="H90" i="2"/>
  <c r="H87" i="2"/>
  <c r="H88" i="2" s="1"/>
  <c r="H86" i="2"/>
  <c r="H83" i="2"/>
  <c r="H84" i="2" s="1"/>
  <c r="H82" i="2"/>
  <c r="H79" i="2"/>
  <c r="H80" i="2" s="1"/>
  <c r="H78" i="2"/>
  <c r="H75" i="2"/>
  <c r="H76" i="2" s="1"/>
  <c r="H74" i="2"/>
  <c r="H71" i="2"/>
  <c r="H72" i="2" s="1"/>
  <c r="H70" i="2"/>
  <c r="H67" i="2"/>
  <c r="H68" i="2" s="1"/>
  <c r="H66" i="2"/>
  <c r="H63" i="2"/>
  <c r="H64" i="2" s="1"/>
  <c r="H62" i="2"/>
  <c r="H59" i="2"/>
  <c r="H60" i="2" s="1"/>
  <c r="H58" i="2"/>
  <c r="H55" i="2"/>
  <c r="H56" i="2" s="1"/>
  <c r="H54" i="2"/>
  <c r="H51" i="2"/>
  <c r="H52" i="2" s="1"/>
  <c r="H50" i="2"/>
  <c r="H47" i="2"/>
  <c r="H48" i="2" s="1"/>
  <c r="H46" i="2"/>
  <c r="H43" i="2"/>
  <c r="H44" i="2" s="1"/>
  <c r="H42" i="2"/>
  <c r="H39" i="2"/>
  <c r="H40" i="2" s="1"/>
  <c r="H38" i="2"/>
  <c r="H35" i="2"/>
  <c r="H36" i="2" s="1"/>
  <c r="H34" i="2"/>
  <c r="H31" i="2"/>
  <c r="H32" i="2" s="1"/>
  <c r="H30" i="2"/>
  <c r="H27" i="2"/>
  <c r="H28" i="2" s="1"/>
  <c r="H26" i="2"/>
  <c r="H17" i="2"/>
  <c r="H16" i="2"/>
  <c r="H7" i="2"/>
  <c r="G7" i="2" s="1"/>
  <c r="B3" i="2"/>
  <c r="B90" i="2" s="1"/>
  <c r="B2" i="2"/>
  <c r="B122" i="2" s="1"/>
  <c r="M2" i="2" l="1"/>
  <c r="H8" i="2"/>
  <c r="H9" i="2" s="1"/>
  <c r="H10" i="2" s="1"/>
  <c r="H11" i="2" s="1"/>
  <c r="H12" i="2" s="1"/>
  <c r="H13" i="2" s="1"/>
  <c r="H14" i="2" s="1"/>
  <c r="K2" i="2"/>
  <c r="L2" i="2"/>
  <c r="H142" i="2"/>
  <c r="H122" i="2"/>
  <c r="J2" i="2"/>
  <c r="H4" i="2"/>
  <c r="G4" i="2" s="1"/>
  <c r="G2" i="2" s="1"/>
  <c r="P2" i="2"/>
  <c r="G6" i="2"/>
  <c r="G14" i="2"/>
  <c r="B86" i="2"/>
  <c r="G17" i="2" l="1"/>
  <c r="G8" i="2"/>
  <c r="G27" i="2" l="1"/>
  <c r="G9" i="2"/>
  <c r="G28" i="2" l="1"/>
  <c r="G10" i="2"/>
  <c r="G31" i="2" l="1"/>
  <c r="G11" i="2"/>
  <c r="G32" i="2" l="1"/>
  <c r="G12" i="2"/>
  <c r="G35" i="2" l="1"/>
  <c r="G13" i="2"/>
  <c r="G36" i="2" l="1"/>
  <c r="G39" i="2" l="1"/>
  <c r="G40" i="2" l="1"/>
  <c r="G43" i="2" l="1"/>
  <c r="G44" i="2" l="1"/>
  <c r="G47" i="2" l="1"/>
  <c r="G48" i="2" l="1"/>
  <c r="G51" i="2" l="1"/>
  <c r="G52" i="2" l="1"/>
  <c r="G55" i="2" l="1"/>
  <c r="G56" i="2" l="1"/>
  <c r="G59" i="2" l="1"/>
  <c r="G60" i="2" l="1"/>
  <c r="H61" i="2"/>
  <c r="G61" i="2" l="1"/>
  <c r="G63" i="2" l="1"/>
  <c r="H65" i="2" l="1"/>
  <c r="G64" i="2"/>
  <c r="G65" i="2" l="1"/>
  <c r="G67" i="2" l="1"/>
  <c r="H69" i="2" l="1"/>
  <c r="G68" i="2"/>
  <c r="G69" i="2" l="1"/>
  <c r="G71" i="2" l="1"/>
  <c r="G72" i="2" l="1"/>
  <c r="H73" i="2"/>
  <c r="G73" i="2" l="1"/>
  <c r="G75" i="2" l="1"/>
  <c r="G76" i="2" l="1"/>
  <c r="H77" i="2"/>
  <c r="G77" i="2" l="1"/>
  <c r="G79" i="2" l="1"/>
  <c r="G80" i="2" l="1"/>
  <c r="H81" i="2"/>
  <c r="G81" i="2" l="1"/>
  <c r="G83" i="2" l="1"/>
  <c r="H85" i="2" l="1"/>
  <c r="G84" i="2"/>
  <c r="G85" i="2" l="1"/>
  <c r="G87" i="2" l="1"/>
  <c r="G88" i="2" l="1"/>
  <c r="H89" i="2"/>
  <c r="G89" i="2" l="1"/>
  <c r="G91" i="2" l="1"/>
  <c r="H93" i="2" l="1"/>
  <c r="G92" i="2"/>
  <c r="G93" i="2" l="1"/>
  <c r="G95" i="2" l="1"/>
  <c r="H97" i="2" l="1"/>
  <c r="G96" i="2"/>
  <c r="G97" i="2" l="1"/>
  <c r="G99" i="2" l="1"/>
  <c r="G100" i="2" l="1"/>
  <c r="H101" i="2"/>
  <c r="G101" i="2" l="1"/>
  <c r="G103" i="2" l="1"/>
  <c r="H105" i="2" l="1"/>
  <c r="G104" i="2"/>
  <c r="G105" i="2" l="1"/>
  <c r="G107" i="2" l="1"/>
  <c r="H109" i="2" l="1"/>
  <c r="G108" i="2"/>
  <c r="G109" i="2" l="1"/>
  <c r="G111" i="2" l="1"/>
  <c r="H113" i="2" l="1"/>
  <c r="G112" i="2"/>
  <c r="G113" i="2" l="1"/>
  <c r="G115" i="2" l="1"/>
  <c r="G116" i="2" l="1"/>
  <c r="H117" i="2"/>
  <c r="G117" i="2" l="1"/>
  <c r="G119" i="2" l="1"/>
  <c r="H121" i="2" l="1"/>
  <c r="G120" i="2"/>
  <c r="G121" i="2" l="1"/>
  <c r="G122" i="2" l="1"/>
  <c r="G123" i="2" l="1"/>
  <c r="H125" i="2" l="1"/>
  <c r="G124" i="2"/>
  <c r="G125" i="2" l="1"/>
  <c r="G126" i="2" l="1"/>
  <c r="G127" i="2" l="1"/>
  <c r="H129" i="2" l="1"/>
  <c r="G128" i="2"/>
  <c r="G129" i="2" l="1"/>
  <c r="G130" i="2" l="1"/>
  <c r="G131" i="2" l="1"/>
  <c r="H133" i="2" l="1"/>
  <c r="G132" i="2"/>
  <c r="G133" i="2" l="1"/>
  <c r="G134" i="2" l="1"/>
  <c r="G135" i="2" l="1"/>
  <c r="H137" i="2" l="1"/>
  <c r="G136" i="2"/>
  <c r="G137" i="2" l="1"/>
  <c r="G138" i="2" l="1"/>
  <c r="G139" i="2" l="1"/>
  <c r="H141" i="2" l="1"/>
  <c r="G140" i="2"/>
  <c r="G141" i="2" l="1"/>
  <c r="G142" i="2" l="1"/>
  <c r="G143" i="2" l="1"/>
  <c r="H145" i="2" l="1"/>
  <c r="G144" i="2"/>
  <c r="G145" i="2" l="1"/>
  <c r="G146" i="2" l="1"/>
  <c r="G147" i="2" l="1"/>
  <c r="H149" i="2" l="1"/>
  <c r="G148" i="2"/>
  <c r="G149" i="2" l="1"/>
  <c r="G150" i="2" l="1"/>
  <c r="G151" i="2" l="1"/>
  <c r="H153" i="2" l="1"/>
  <c r="G152" i="2"/>
  <c r="G153" i="2" l="1"/>
  <c r="G154" i="2" l="1"/>
  <c r="G155" i="2" l="1"/>
  <c r="H157" i="2" l="1"/>
  <c r="G156" i="2"/>
  <c r="G157" i="2" l="1"/>
  <c r="G158" i="2" l="1"/>
  <c r="G159" i="2" l="1"/>
  <c r="H161" i="2" l="1"/>
  <c r="G160" i="2"/>
  <c r="H162" i="2" l="1"/>
  <c r="G161" i="2"/>
  <c r="H163" i="2" l="1"/>
  <c r="G162" i="2"/>
  <c r="H164" i="2" l="1"/>
  <c r="G164" i="2" s="1"/>
  <c r="G16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</author>
  </authors>
  <commentList>
    <comment ref="O6" authorId="0" shapeId="0" xr:uid="{B9045694-4F5C-FB44-892C-6A02F49C82C5}">
      <text>
        <r>
          <rPr>
            <b/>
            <sz val="10"/>
            <color rgb="FF000000"/>
            <rFont val="Tahoma"/>
            <family val="2"/>
          </rPr>
          <t>AV: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Visa Required</t>
        </r>
      </text>
    </comment>
    <comment ref="O16" authorId="0" shapeId="0" xr:uid="{3C487235-B1A7-F64E-9415-C89700549D78}">
      <text>
        <r>
          <rPr>
            <b/>
            <sz val="10"/>
            <color rgb="FF000000"/>
            <rFont val="Tahoma"/>
            <family val="2"/>
          </rPr>
          <t>AV: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SDF fees, no VISA required
</t>
        </r>
      </text>
    </comment>
  </commentList>
</comments>
</file>

<file path=xl/sharedStrings.xml><?xml version="1.0" encoding="utf-8"?>
<sst xmlns="http://schemas.openxmlformats.org/spreadsheetml/2006/main" count="251" uniqueCount="94">
  <si>
    <t>Food</t>
  </si>
  <si>
    <t>Flights</t>
  </si>
  <si>
    <t>Transportation</t>
  </si>
  <si>
    <t>Lodging</t>
  </si>
  <si>
    <t>Activities</t>
  </si>
  <si>
    <t>Car Rental</t>
  </si>
  <si>
    <t>Visa</t>
  </si>
  <si>
    <t>Misc</t>
  </si>
  <si>
    <t>Daily Average</t>
  </si>
  <si>
    <t>Location</t>
  </si>
  <si>
    <t>Itinerary</t>
  </si>
  <si>
    <t>City</t>
  </si>
  <si>
    <t>Budget --&gt;</t>
  </si>
  <si>
    <t>Budget/Actual</t>
  </si>
  <si>
    <t>Actual --&gt;</t>
  </si>
  <si>
    <t>Day 1</t>
  </si>
  <si>
    <t>Running Total</t>
  </si>
  <si>
    <t>USD</t>
  </si>
  <si>
    <t>INR</t>
  </si>
  <si>
    <t>GBP</t>
  </si>
  <si>
    <t>Nepal</t>
  </si>
  <si>
    <t>Bhutan</t>
  </si>
  <si>
    <t>Vietnam</t>
  </si>
  <si>
    <t>Sri Lanka</t>
  </si>
  <si>
    <t>Indonisia</t>
  </si>
  <si>
    <t>Thailand</t>
  </si>
  <si>
    <t>Cambodia</t>
  </si>
  <si>
    <t>Laos</t>
  </si>
  <si>
    <t>Malaysia</t>
  </si>
  <si>
    <t>Phillipines</t>
  </si>
  <si>
    <t>As compared to 1 ₹</t>
  </si>
  <si>
    <t>China</t>
  </si>
  <si>
    <t>Singapore</t>
  </si>
  <si>
    <t>Japan</t>
  </si>
  <si>
    <t>Nep. Rs.</t>
  </si>
  <si>
    <t>Rs</t>
  </si>
  <si>
    <t>Ngultrum</t>
  </si>
  <si>
    <t>Dong</t>
  </si>
  <si>
    <t>Rupiah</t>
  </si>
  <si>
    <t>Baht</t>
  </si>
  <si>
    <t>Reil</t>
  </si>
  <si>
    <t>Kip</t>
  </si>
  <si>
    <t>Ringgit</t>
  </si>
  <si>
    <t>Peso</t>
  </si>
  <si>
    <t>Renminbi</t>
  </si>
  <si>
    <t>Sng Dollar</t>
  </si>
  <si>
    <t>Yen</t>
  </si>
  <si>
    <t>Egypt</t>
  </si>
  <si>
    <t>Jordan</t>
  </si>
  <si>
    <t>Prague</t>
  </si>
  <si>
    <t>Budapest</t>
  </si>
  <si>
    <t>Croatia</t>
  </si>
  <si>
    <t>Germany</t>
  </si>
  <si>
    <t>Copenhagen</t>
  </si>
  <si>
    <t>Faroe Islands</t>
  </si>
  <si>
    <t>Turkey</t>
  </si>
  <si>
    <t>Georgia</t>
  </si>
  <si>
    <t>South Africa</t>
  </si>
  <si>
    <t>Columbia</t>
  </si>
  <si>
    <t>Peru</t>
  </si>
  <si>
    <t>Ecuador</t>
  </si>
  <si>
    <t>Bolivia</t>
  </si>
  <si>
    <t>Guatemala</t>
  </si>
  <si>
    <t>Nicaragua</t>
  </si>
  <si>
    <t>Euro</t>
  </si>
  <si>
    <t>Mexico</t>
  </si>
  <si>
    <t>Kyrgyzstan</t>
  </si>
  <si>
    <t>Uzbekistan</t>
  </si>
  <si>
    <t>Tajikistan</t>
  </si>
  <si>
    <t>Kazakhstan</t>
  </si>
  <si>
    <t>Armenia</t>
  </si>
  <si>
    <t>Sol</t>
  </si>
  <si>
    <t>Boliviano</t>
  </si>
  <si>
    <t>Quetzal</t>
  </si>
  <si>
    <t>Córdoba</t>
  </si>
  <si>
    <t>Som (UZS)</t>
  </si>
  <si>
    <t>Som (KGS)</t>
  </si>
  <si>
    <t>Somoni</t>
  </si>
  <si>
    <t>Tenge</t>
  </si>
  <si>
    <t xml:space="preserve">Dram </t>
  </si>
  <si>
    <t>Czech Republic</t>
  </si>
  <si>
    <t>Rand</t>
  </si>
  <si>
    <t>Lari</t>
  </si>
  <si>
    <t>Lira</t>
  </si>
  <si>
    <t>Krone</t>
  </si>
  <si>
    <t>Forint</t>
  </si>
  <si>
    <t>Hungary</t>
  </si>
  <si>
    <t>Dinar</t>
  </si>
  <si>
    <t>Egyp Pound</t>
  </si>
  <si>
    <t>Koruna</t>
  </si>
  <si>
    <t>Tashkent</t>
  </si>
  <si>
    <t>BUDGET</t>
  </si>
  <si>
    <t>ACTUAL</t>
  </si>
  <si>
    <t>Average Per Country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</si>
</sst>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₹-4009]\ #,##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EB03-A01A-B44D-882B-F5FCEBC49785}">
  <dimension ref="A1:Q439"/>
  <sheetViews>
    <sheetView tabSelected="1" zoomScale="125" workbookViewId="0">
      <pane xSplit="3" ySplit="5" topLeftCell="D148" activePane="bottomRight" state="frozen"/>
      <selection pane="topRight" activeCell="D1" sqref="D1"/>
      <selection pane="bottomLeft" activeCell="A6" sqref="A6"/>
      <selection pane="bottomRight" activeCell="G167" sqref="G167"/>
    </sheetView>
  </sheetViews>
  <sheetFormatPr baseColWidth="10" defaultRowHeight="16" x14ac:dyDescent="0.2"/>
  <cols>
    <col min="1" max="1" width="11.5" bestFit="1" customWidth="1"/>
    <col min="2" max="2" width="7.1640625" style="5" bestFit="1" customWidth="1"/>
    <col min="3" max="3" width="17.33203125" style="1" customWidth="1"/>
    <col min="4" max="4" width="17.33203125" customWidth="1"/>
    <col min="5" max="5" width="15.83203125" customWidth="1"/>
    <col min="6" max="8" width="18.5" customWidth="1"/>
    <col min="9" max="9" width="15.83203125" customWidth="1"/>
    <col min="10" max="10" width="17.33203125" customWidth="1"/>
    <col min="11" max="11" width="15.5" customWidth="1"/>
    <col min="12" max="12" width="13.83203125" customWidth="1"/>
    <col min="13" max="13" width="11.1640625" customWidth="1"/>
    <col min="14" max="14" width="14.33203125" customWidth="1"/>
    <col min="15" max="15" width="9.83203125" customWidth="1"/>
    <col min="16" max="16" width="12.6640625" customWidth="1"/>
    <col min="17" max="17" width="13.5" bestFit="1" customWidth="1"/>
  </cols>
  <sheetData>
    <row r="1" spans="1:17" x14ac:dyDescent="0.2">
      <c r="A1" s="8" t="s">
        <v>18</v>
      </c>
      <c r="B1" s="6">
        <v>1</v>
      </c>
      <c r="C1" s="3" t="s">
        <v>30</v>
      </c>
    </row>
    <row r="2" spans="1:17" x14ac:dyDescent="0.2">
      <c r="A2" s="8" t="s">
        <v>17</v>
      </c>
      <c r="B2" s="7">
        <f>1/95.44</f>
        <v>1.0477787091366304E-2</v>
      </c>
      <c r="C2" s="3"/>
      <c r="F2" s="11" t="s">
        <v>93</v>
      </c>
      <c r="G2" s="12">
        <f>G4/38</f>
        <v>2695.5678670360112</v>
      </c>
      <c r="H2" s="12"/>
      <c r="I2" s="12">
        <f t="shared" ref="I2:Q2" si="0">I4/38</f>
        <v>0</v>
      </c>
      <c r="J2" s="12">
        <f t="shared" si="0"/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12">
        <f t="shared" si="0"/>
        <v>0</v>
      </c>
      <c r="O2" s="12">
        <f t="shared" si="0"/>
        <v>0</v>
      </c>
      <c r="P2" s="12">
        <f t="shared" si="0"/>
        <v>0</v>
      </c>
      <c r="Q2" s="12">
        <f t="shared" si="0"/>
        <v>0</v>
      </c>
    </row>
    <row r="3" spans="1:17" x14ac:dyDescent="0.2">
      <c r="A3" s="8" t="s">
        <v>19</v>
      </c>
      <c r="B3" s="7">
        <f>1/129.6</f>
        <v>7.7160493827160498E-3</v>
      </c>
      <c r="C3" s="3"/>
      <c r="G3" s="12"/>
      <c r="H3" s="12" t="s">
        <v>91</v>
      </c>
      <c r="I3" s="12" t="s">
        <v>92</v>
      </c>
      <c r="J3" s="12"/>
      <c r="K3" s="12"/>
      <c r="L3" s="12"/>
      <c r="M3" s="12"/>
      <c r="N3" s="12"/>
      <c r="O3" s="12"/>
      <c r="P3" s="12"/>
      <c r="Q3" s="12"/>
    </row>
    <row r="4" spans="1:17" x14ac:dyDescent="0.2">
      <c r="B4" s="3"/>
      <c r="G4" s="12">
        <f>H4/38</f>
        <v>102431.57894736843</v>
      </c>
      <c r="H4" s="12">
        <f>SUMIF(C6:C164,"&lt;&gt;",H6:H164)</f>
        <v>3892400</v>
      </c>
      <c r="I4" s="12">
        <f>SUMIF($C$6:$C$164,"",I6:I164)</f>
        <v>0</v>
      </c>
      <c r="J4" s="12">
        <f t="shared" ref="J4:Q4" si="1">SUMIF($C$6:$C$164,"",J6:J164)</f>
        <v>0</v>
      </c>
      <c r="K4" s="12">
        <f t="shared" si="1"/>
        <v>0</v>
      </c>
      <c r="L4" s="12">
        <f t="shared" si="1"/>
        <v>0</v>
      </c>
      <c r="M4" s="12">
        <f t="shared" si="1"/>
        <v>0</v>
      </c>
      <c r="N4" s="12">
        <f t="shared" si="1"/>
        <v>0</v>
      </c>
      <c r="O4" s="12">
        <f t="shared" si="1"/>
        <v>0</v>
      </c>
      <c r="P4" s="12">
        <f t="shared" si="1"/>
        <v>0</v>
      </c>
      <c r="Q4" s="12">
        <f t="shared" si="1"/>
        <v>0</v>
      </c>
    </row>
    <row r="5" spans="1:17" s="1" customFormat="1" x14ac:dyDescent="0.2">
      <c r="B5" s="4"/>
      <c r="C5" s="10" t="s">
        <v>9</v>
      </c>
      <c r="D5" s="10" t="s">
        <v>11</v>
      </c>
      <c r="E5" s="10" t="s">
        <v>10</v>
      </c>
      <c r="F5" s="10" t="s">
        <v>13</v>
      </c>
      <c r="G5" s="10" t="s">
        <v>8</v>
      </c>
      <c r="H5" s="10" t="s">
        <v>16</v>
      </c>
      <c r="I5" s="10" t="s">
        <v>1</v>
      </c>
      <c r="J5" s="10" t="s">
        <v>2</v>
      </c>
      <c r="K5" s="10" t="s">
        <v>3</v>
      </c>
      <c r="L5" s="10" t="s">
        <v>0</v>
      </c>
      <c r="M5" s="10" t="s">
        <v>4</v>
      </c>
      <c r="N5" s="10" t="s">
        <v>5</v>
      </c>
      <c r="O5" s="10" t="s">
        <v>6</v>
      </c>
      <c r="P5" s="10" t="s">
        <v>7</v>
      </c>
      <c r="Q5" s="10"/>
    </row>
    <row r="6" spans="1:17" x14ac:dyDescent="0.2">
      <c r="A6" s="9" t="s">
        <v>34</v>
      </c>
      <c r="B6" s="4">
        <v>1.6</v>
      </c>
      <c r="C6" s="1" t="s">
        <v>20</v>
      </c>
      <c r="F6" s="2" t="s">
        <v>12</v>
      </c>
      <c r="G6" s="12">
        <f>H6/B13</f>
        <v>9928.5714285714294</v>
      </c>
      <c r="H6" s="12">
        <f>SUM(I6:Q6)</f>
        <v>69500</v>
      </c>
      <c r="I6" s="12">
        <v>14000</v>
      </c>
      <c r="J6" s="12">
        <v>8000</v>
      </c>
      <c r="K6" s="12">
        <f>700*5+1500*10</f>
        <v>18500</v>
      </c>
      <c r="L6" s="12">
        <v>9000</v>
      </c>
      <c r="M6" s="12">
        <v>14000</v>
      </c>
      <c r="N6" s="12"/>
      <c r="O6" s="12">
        <v>3000</v>
      </c>
      <c r="P6" s="12">
        <v>3000</v>
      </c>
      <c r="Q6" s="12"/>
    </row>
    <row r="7" spans="1:17" x14ac:dyDescent="0.2">
      <c r="B7" s="5" t="s">
        <v>15</v>
      </c>
      <c r="F7" s="2" t="s">
        <v>14</v>
      </c>
      <c r="G7" s="12">
        <f>H7/1</f>
        <v>0</v>
      </c>
      <c r="H7" s="12">
        <f>SUM(I7:Q7)</f>
        <v>0</v>
      </c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2">
      <c r="B8" s="5">
        <v>2</v>
      </c>
      <c r="F8" s="2" t="s">
        <v>14</v>
      </c>
      <c r="G8" s="12">
        <f>H8/B8</f>
        <v>0</v>
      </c>
      <c r="H8" s="12">
        <f>H7+SUM(I8:Q8)</f>
        <v>0</v>
      </c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2">
      <c r="B9" s="5">
        <v>3</v>
      </c>
      <c r="F9" s="2" t="s">
        <v>14</v>
      </c>
      <c r="G9" s="12">
        <f t="shared" ref="G9:G13" si="2">H9/B9</f>
        <v>0</v>
      </c>
      <c r="H9" s="12">
        <f t="shared" ref="H9:H13" si="3">H8+SUM(I9:Q9)</f>
        <v>0</v>
      </c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2">
      <c r="B10" s="5">
        <v>4</v>
      </c>
      <c r="F10" s="2" t="s">
        <v>14</v>
      </c>
      <c r="G10" s="12">
        <f t="shared" si="2"/>
        <v>0</v>
      </c>
      <c r="H10" s="12">
        <f t="shared" si="3"/>
        <v>0</v>
      </c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2">
      <c r="B11" s="5">
        <v>5</v>
      </c>
      <c r="F11" s="2" t="s">
        <v>14</v>
      </c>
      <c r="G11" s="12">
        <f t="shared" si="2"/>
        <v>0</v>
      </c>
      <c r="H11" s="12">
        <f t="shared" si="3"/>
        <v>0</v>
      </c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2">
      <c r="B12" s="5">
        <v>6</v>
      </c>
      <c r="F12" s="2" t="s">
        <v>14</v>
      </c>
      <c r="G12" s="12">
        <f t="shared" si="2"/>
        <v>0</v>
      </c>
      <c r="H12" s="12">
        <f t="shared" si="3"/>
        <v>0</v>
      </c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2">
      <c r="B13" s="5">
        <v>7</v>
      </c>
      <c r="F13" s="2" t="s">
        <v>14</v>
      </c>
      <c r="G13" s="12">
        <f t="shared" si="2"/>
        <v>0</v>
      </c>
      <c r="H13" s="12">
        <f t="shared" si="3"/>
        <v>0</v>
      </c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">
      <c r="G14" s="12" t="e">
        <f t="shared" ref="G14:G81" si="4">H14/B14</f>
        <v>#DIV/0!</v>
      </c>
      <c r="H14" s="12">
        <f t="shared" ref="H14:H81" si="5">H13+SUM(I14:Q14)</f>
        <v>0</v>
      </c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"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">
      <c r="A16" s="9" t="s">
        <v>36</v>
      </c>
      <c r="B16" s="4">
        <v>1</v>
      </c>
      <c r="C16" s="1" t="s">
        <v>21</v>
      </c>
      <c r="F16" s="2" t="s">
        <v>12</v>
      </c>
      <c r="G16" s="12"/>
      <c r="H16" s="12">
        <f>SUM(I16:Q16)</f>
        <v>95000</v>
      </c>
      <c r="I16" s="12">
        <v>28000</v>
      </c>
      <c r="J16" s="12">
        <v>8000</v>
      </c>
      <c r="K16" s="12">
        <v>25000</v>
      </c>
      <c r="L16" s="12">
        <v>12000</v>
      </c>
      <c r="M16" s="12">
        <v>2000</v>
      </c>
      <c r="N16" s="12">
        <v>8000</v>
      </c>
      <c r="O16" s="12">
        <v>12000</v>
      </c>
      <c r="P16" s="12"/>
      <c r="Q16" s="12"/>
    </row>
    <row r="17" spans="1:17" x14ac:dyDescent="0.2">
      <c r="A17" s="9"/>
      <c r="B17" s="5" t="s">
        <v>15</v>
      </c>
      <c r="F17" s="2" t="s">
        <v>14</v>
      </c>
      <c r="G17" s="12">
        <f>H17/1</f>
        <v>0</v>
      </c>
      <c r="H17" s="12">
        <f>SUM(I17:Q17)</f>
        <v>0</v>
      </c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">
      <c r="A18" s="9"/>
      <c r="B18" s="5">
        <v>2</v>
      </c>
      <c r="F18" s="2" t="s">
        <v>14</v>
      </c>
      <c r="G18" s="12">
        <f t="shared" ref="G18:G24" si="6">H18/1</f>
        <v>0</v>
      </c>
      <c r="H18" s="12">
        <f t="shared" ref="H18:H24" si="7">SUM(I18:Q18)</f>
        <v>0</v>
      </c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">
      <c r="A19" s="9"/>
      <c r="B19" s="5">
        <v>3</v>
      </c>
      <c r="F19" s="2" t="s">
        <v>14</v>
      </c>
      <c r="G19" s="12">
        <f t="shared" si="6"/>
        <v>0</v>
      </c>
      <c r="H19" s="12">
        <f t="shared" si="7"/>
        <v>0</v>
      </c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">
      <c r="A20" s="9"/>
      <c r="B20" s="5">
        <v>4</v>
      </c>
      <c r="F20" s="2" t="s">
        <v>14</v>
      </c>
      <c r="G20" s="12">
        <f t="shared" si="6"/>
        <v>0</v>
      </c>
      <c r="H20" s="12">
        <f t="shared" si="7"/>
        <v>0</v>
      </c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2">
      <c r="A21" s="9"/>
      <c r="B21" s="5">
        <v>5</v>
      </c>
      <c r="F21" s="2" t="s">
        <v>14</v>
      </c>
      <c r="G21" s="12">
        <f t="shared" si="6"/>
        <v>0</v>
      </c>
      <c r="H21" s="12">
        <f t="shared" si="7"/>
        <v>0</v>
      </c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2">
      <c r="A22" s="9"/>
      <c r="F22" s="2" t="s">
        <v>14</v>
      </c>
      <c r="G22" s="12">
        <f t="shared" si="6"/>
        <v>0</v>
      </c>
      <c r="H22" s="12">
        <f t="shared" si="7"/>
        <v>0</v>
      </c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2">
      <c r="A23" s="9"/>
      <c r="F23" s="2" t="s">
        <v>14</v>
      </c>
      <c r="G23" s="12">
        <f t="shared" si="6"/>
        <v>0</v>
      </c>
      <c r="H23" s="12">
        <f t="shared" si="7"/>
        <v>0</v>
      </c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2">
      <c r="A24" s="9"/>
      <c r="F24" s="2" t="s">
        <v>14</v>
      </c>
      <c r="G24" s="12">
        <f t="shared" si="6"/>
        <v>0</v>
      </c>
      <c r="H24" s="12">
        <f t="shared" si="7"/>
        <v>0</v>
      </c>
      <c r="I24" s="12"/>
      <c r="J24" s="12"/>
      <c r="K24" s="12"/>
      <c r="L24" s="12"/>
      <c r="M24" s="12"/>
      <c r="N24" s="12"/>
      <c r="O24" s="12"/>
      <c r="P24" s="12"/>
      <c r="Q24" s="12"/>
    </row>
    <row r="25" spans="1:17" x14ac:dyDescent="0.2">
      <c r="A25" s="9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x14ac:dyDescent="0.2">
      <c r="A26" s="9" t="s">
        <v>37</v>
      </c>
      <c r="B26" s="4">
        <v>273.19</v>
      </c>
      <c r="C26" s="1" t="s">
        <v>22</v>
      </c>
      <c r="F26" s="2" t="s">
        <v>12</v>
      </c>
      <c r="G26" s="12"/>
      <c r="H26" s="12">
        <f>SUM(I26:Q26)</f>
        <v>85200</v>
      </c>
      <c r="I26" s="12">
        <v>32000</v>
      </c>
      <c r="J26" s="12">
        <f>400*5+2500*5</f>
        <v>14500</v>
      </c>
      <c r="K26" s="12">
        <f>700*5+1600*5</f>
        <v>11500</v>
      </c>
      <c r="L26" s="12">
        <f>800*10</f>
        <v>8000</v>
      </c>
      <c r="M26" s="12">
        <v>10000</v>
      </c>
      <c r="N26" s="12">
        <v>3000</v>
      </c>
      <c r="O26" s="12">
        <v>2200</v>
      </c>
      <c r="P26" s="12">
        <v>4000</v>
      </c>
      <c r="Q26" s="12"/>
    </row>
    <row r="27" spans="1:17" x14ac:dyDescent="0.2">
      <c r="A27" s="9"/>
      <c r="B27" s="5" t="s">
        <v>15</v>
      </c>
      <c r="F27" s="2" t="s">
        <v>14</v>
      </c>
      <c r="G27" s="12">
        <f>H27/1</f>
        <v>0</v>
      </c>
      <c r="H27" s="12">
        <f>SUM(I27:Q27)</f>
        <v>0</v>
      </c>
      <c r="I27" s="12"/>
      <c r="J27" s="12"/>
      <c r="K27" s="12"/>
      <c r="L27" s="12"/>
      <c r="M27" s="12"/>
      <c r="N27" s="12"/>
      <c r="O27" s="12"/>
      <c r="P27" s="12"/>
      <c r="Q27" s="12"/>
    </row>
    <row r="28" spans="1:17" x14ac:dyDescent="0.2">
      <c r="A28" s="9"/>
      <c r="B28" s="5">
        <v>2</v>
      </c>
      <c r="F28" s="2" t="s">
        <v>14</v>
      </c>
      <c r="G28" s="12">
        <f t="shared" ref="G28" si="8">H28/B28</f>
        <v>0</v>
      </c>
      <c r="H28" s="12">
        <f>H27+SUM(I28:Q28)</f>
        <v>0</v>
      </c>
      <c r="I28" s="12"/>
      <c r="J28" s="12"/>
      <c r="K28" s="12"/>
      <c r="L28" s="12"/>
      <c r="M28" s="12"/>
      <c r="N28" s="12"/>
      <c r="O28" s="12"/>
      <c r="P28" s="12"/>
      <c r="Q28" s="12"/>
    </row>
    <row r="29" spans="1:17" x14ac:dyDescent="0.2">
      <c r="A29" s="9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2">
      <c r="A30" s="9" t="s">
        <v>35</v>
      </c>
      <c r="B30" s="4">
        <v>3.43</v>
      </c>
      <c r="C30" s="1" t="s">
        <v>23</v>
      </c>
      <c r="F30" s="2" t="s">
        <v>12</v>
      </c>
      <c r="G30" s="12"/>
      <c r="H30" s="12">
        <f>SUM(I30:Q30)</f>
        <v>54000</v>
      </c>
      <c r="I30" s="12">
        <v>14000</v>
      </c>
      <c r="J30" s="12">
        <v>5000</v>
      </c>
      <c r="K30" s="12">
        <f>(800+2000)*5</f>
        <v>14000</v>
      </c>
      <c r="L30" s="12">
        <v>9000</v>
      </c>
      <c r="M30" s="12"/>
      <c r="N30" s="12">
        <v>7000</v>
      </c>
      <c r="O30" s="12">
        <v>2000</v>
      </c>
      <c r="P30" s="12">
        <v>3000</v>
      </c>
      <c r="Q30" s="12"/>
    </row>
    <row r="31" spans="1:17" x14ac:dyDescent="0.2">
      <c r="A31" s="9"/>
      <c r="B31" s="5" t="s">
        <v>15</v>
      </c>
      <c r="F31" s="2" t="s">
        <v>14</v>
      </c>
      <c r="G31" s="12">
        <f>H31/1</f>
        <v>0</v>
      </c>
      <c r="H31" s="12">
        <f>SUM(I31:Q31)</f>
        <v>0</v>
      </c>
      <c r="I31" s="12"/>
      <c r="J31" s="12"/>
      <c r="K31" s="12"/>
      <c r="L31" s="12"/>
      <c r="M31" s="12"/>
      <c r="N31" s="12"/>
      <c r="O31" s="12"/>
      <c r="P31" s="12"/>
      <c r="Q31" s="12"/>
    </row>
    <row r="32" spans="1:17" x14ac:dyDescent="0.2">
      <c r="A32" s="9"/>
      <c r="B32" s="5">
        <v>2</v>
      </c>
      <c r="F32" s="2" t="s">
        <v>14</v>
      </c>
      <c r="G32" s="12">
        <f t="shared" ref="G32" si="9">H32/B32</f>
        <v>0</v>
      </c>
      <c r="H32" s="12">
        <f>H31+SUM(I32:Q32)</f>
        <v>0</v>
      </c>
      <c r="I32" s="12"/>
      <c r="J32" s="12"/>
      <c r="K32" s="12"/>
      <c r="L32" s="12"/>
      <c r="M32" s="12"/>
      <c r="N32" s="12"/>
      <c r="O32" s="12"/>
      <c r="P32" s="12"/>
      <c r="Q32" s="12"/>
    </row>
    <row r="33" spans="1:17" x14ac:dyDescent="0.2">
      <c r="A33" s="9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x14ac:dyDescent="0.2">
      <c r="A34" s="9" t="s">
        <v>38</v>
      </c>
      <c r="B34" s="4">
        <v>185.67</v>
      </c>
      <c r="C34" s="1" t="s">
        <v>24</v>
      </c>
      <c r="F34" s="2" t="s">
        <v>12</v>
      </c>
      <c r="G34" s="12"/>
      <c r="H34" s="12">
        <f>SUM(I34:Q34)</f>
        <v>90500</v>
      </c>
      <c r="I34" s="12">
        <v>40000</v>
      </c>
      <c r="J34" s="12">
        <v>5000</v>
      </c>
      <c r="K34" s="12">
        <f>(900+2000)*5</f>
        <v>14500</v>
      </c>
      <c r="L34" s="12">
        <v>9000</v>
      </c>
      <c r="M34" s="12">
        <v>10000</v>
      </c>
      <c r="N34" s="12">
        <v>5000</v>
      </c>
      <c r="O34" s="12">
        <v>4000</v>
      </c>
      <c r="P34" s="12">
        <v>3000</v>
      </c>
      <c r="Q34" s="12"/>
    </row>
    <row r="35" spans="1:17" x14ac:dyDescent="0.2">
      <c r="A35" s="9"/>
      <c r="B35" s="5" t="s">
        <v>15</v>
      </c>
      <c r="F35" s="2" t="s">
        <v>14</v>
      </c>
      <c r="G35" s="12">
        <f>H35/1</f>
        <v>0</v>
      </c>
      <c r="H35" s="12">
        <f>SUM(I35:Q35)</f>
        <v>0</v>
      </c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2">
      <c r="A36" s="9"/>
      <c r="B36" s="5">
        <v>2</v>
      </c>
      <c r="F36" s="2" t="s">
        <v>14</v>
      </c>
      <c r="G36" s="12">
        <f t="shared" ref="G36" si="10">H36/B36</f>
        <v>0</v>
      </c>
      <c r="H36" s="12">
        <f>H35+SUM(I36:Q36)</f>
        <v>0</v>
      </c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2">
      <c r="A37" s="9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2">
      <c r="A38" s="9" t="s">
        <v>39</v>
      </c>
      <c r="B38" s="4">
        <v>0.35</v>
      </c>
      <c r="C38" s="1" t="s">
        <v>25</v>
      </c>
      <c r="F38" s="2" t="s">
        <v>12</v>
      </c>
      <c r="G38" s="12"/>
      <c r="H38" s="12">
        <f>SUM(I38:Q38)</f>
        <v>62000</v>
      </c>
      <c r="I38" s="12">
        <v>28000</v>
      </c>
      <c r="J38" s="12">
        <v>5000</v>
      </c>
      <c r="K38" s="12">
        <v>10000</v>
      </c>
      <c r="L38" s="12">
        <v>8000</v>
      </c>
      <c r="M38" s="12"/>
      <c r="N38" s="12">
        <v>4000</v>
      </c>
      <c r="O38" s="12">
        <v>4000</v>
      </c>
      <c r="P38" s="12">
        <v>3000</v>
      </c>
      <c r="Q38" s="12"/>
    </row>
    <row r="39" spans="1:17" x14ac:dyDescent="0.2">
      <c r="A39" s="9"/>
      <c r="B39" s="5" t="s">
        <v>15</v>
      </c>
      <c r="F39" s="2" t="s">
        <v>14</v>
      </c>
      <c r="G39" s="12">
        <f>H39/1</f>
        <v>0</v>
      </c>
      <c r="H39" s="12">
        <f>SUM(I39:Q39)</f>
        <v>0</v>
      </c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2">
      <c r="A40" s="9"/>
      <c r="B40" s="5">
        <v>2</v>
      </c>
      <c r="F40" s="2" t="s">
        <v>14</v>
      </c>
      <c r="G40" s="12">
        <f t="shared" ref="G40" si="11">H40/B40</f>
        <v>0</v>
      </c>
      <c r="H40" s="12">
        <f>H39+SUM(I40:Q40)</f>
        <v>0</v>
      </c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2">
      <c r="A41" s="9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2">
      <c r="A42" s="9" t="s">
        <v>40</v>
      </c>
      <c r="B42" s="4">
        <v>42.42</v>
      </c>
      <c r="C42" s="1" t="s">
        <v>26</v>
      </c>
      <c r="F42" s="2" t="s">
        <v>12</v>
      </c>
      <c r="G42" s="12"/>
      <c r="H42" s="12">
        <f>SUM(I42:Q42)</f>
        <v>75400</v>
      </c>
      <c r="I42" s="12">
        <v>35000</v>
      </c>
      <c r="J42" s="12">
        <v>4000</v>
      </c>
      <c r="K42" s="12">
        <v>14000</v>
      </c>
      <c r="L42" s="12">
        <v>7000</v>
      </c>
      <c r="M42" s="12">
        <v>5300</v>
      </c>
      <c r="N42" s="12">
        <v>4500</v>
      </c>
      <c r="O42" s="12">
        <v>2600</v>
      </c>
      <c r="P42" s="12">
        <v>3000</v>
      </c>
      <c r="Q42" s="12"/>
    </row>
    <row r="43" spans="1:17" x14ac:dyDescent="0.2">
      <c r="A43" s="9"/>
      <c r="B43" s="5" t="s">
        <v>15</v>
      </c>
      <c r="F43" s="2" t="s">
        <v>14</v>
      </c>
      <c r="G43" s="12">
        <f>H43/1</f>
        <v>0</v>
      </c>
      <c r="H43" s="12">
        <f>SUM(I43:Q43)</f>
        <v>0</v>
      </c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2">
      <c r="A44" s="9"/>
      <c r="B44" s="5">
        <v>2</v>
      </c>
      <c r="F44" s="2" t="s">
        <v>14</v>
      </c>
      <c r="G44" s="12">
        <f t="shared" ref="G44" si="12">H44/B44</f>
        <v>0</v>
      </c>
      <c r="H44" s="12">
        <f>H43+SUM(I44:Q44)</f>
        <v>0</v>
      </c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2">
      <c r="A45" s="9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x14ac:dyDescent="0.2">
      <c r="A46" s="9" t="s">
        <v>41</v>
      </c>
      <c r="B46" s="4">
        <v>235</v>
      </c>
      <c r="C46" s="1" t="s">
        <v>27</v>
      </c>
      <c r="F46" s="2" t="s">
        <v>12</v>
      </c>
      <c r="G46" s="12"/>
      <c r="H46" s="12">
        <f>SUM(I46:Q46)</f>
        <v>81000</v>
      </c>
      <c r="I46" s="12">
        <v>38000</v>
      </c>
      <c r="J46" s="12">
        <f>2800*5</f>
        <v>14000</v>
      </c>
      <c r="K46" s="12">
        <v>13000</v>
      </c>
      <c r="L46" s="12">
        <v>6000</v>
      </c>
      <c r="M46" s="12"/>
      <c r="N46" s="12">
        <v>4000</v>
      </c>
      <c r="O46" s="12">
        <v>3000</v>
      </c>
      <c r="P46" s="12">
        <v>3000</v>
      </c>
      <c r="Q46" s="12"/>
    </row>
    <row r="47" spans="1:17" x14ac:dyDescent="0.2">
      <c r="A47" s="9"/>
      <c r="B47" s="5" t="s">
        <v>15</v>
      </c>
      <c r="F47" s="2" t="s">
        <v>14</v>
      </c>
      <c r="G47" s="12">
        <f>H47/1</f>
        <v>0</v>
      </c>
      <c r="H47" s="12">
        <f>SUM(I47:Q47)</f>
        <v>0</v>
      </c>
      <c r="I47" s="12"/>
      <c r="J47" s="12"/>
      <c r="K47" s="12"/>
      <c r="L47" s="12"/>
      <c r="M47" s="12"/>
      <c r="N47" s="12"/>
      <c r="O47" s="12"/>
      <c r="P47" s="12"/>
      <c r="Q47" s="12"/>
    </row>
    <row r="48" spans="1:17" x14ac:dyDescent="0.2">
      <c r="A48" s="9"/>
      <c r="B48" s="5">
        <v>2</v>
      </c>
      <c r="F48" s="2" t="s">
        <v>14</v>
      </c>
      <c r="G48" s="12">
        <f t="shared" ref="G48" si="13">H48/B48</f>
        <v>0</v>
      </c>
      <c r="H48" s="12">
        <f>H47+SUM(I48:Q48)</f>
        <v>0</v>
      </c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2">
      <c r="A49" s="9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2">
      <c r="A50" s="9" t="s">
        <v>42</v>
      </c>
      <c r="B50" s="4">
        <v>4.2000000000000003E-2</v>
      </c>
      <c r="C50" s="1" t="s">
        <v>28</v>
      </c>
      <c r="F50" s="2" t="s">
        <v>12</v>
      </c>
      <c r="G50" s="12"/>
      <c r="H50" s="12">
        <f>SUM(I50:Q50)</f>
        <v>63500</v>
      </c>
      <c r="I50" s="12">
        <v>24000</v>
      </c>
      <c r="J50" s="12">
        <v>4500</v>
      </c>
      <c r="K50" s="12">
        <v>18000</v>
      </c>
      <c r="L50" s="12">
        <v>9000</v>
      </c>
      <c r="M50" s="12"/>
      <c r="N50" s="12">
        <v>5000</v>
      </c>
      <c r="O50" s="12"/>
      <c r="P50" s="12">
        <v>3000</v>
      </c>
      <c r="Q50" s="12"/>
    </row>
    <row r="51" spans="1:17" x14ac:dyDescent="0.2">
      <c r="A51" s="9"/>
      <c r="B51" s="5" t="s">
        <v>15</v>
      </c>
      <c r="F51" s="2" t="s">
        <v>14</v>
      </c>
      <c r="G51" s="12">
        <f>H51/1</f>
        <v>0</v>
      </c>
      <c r="H51" s="12">
        <f>SUM(I51:Q51)</f>
        <v>0</v>
      </c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2">
      <c r="A52" s="9"/>
      <c r="B52" s="5">
        <v>2</v>
      </c>
      <c r="F52" s="2" t="s">
        <v>14</v>
      </c>
      <c r="G52" s="12">
        <f t="shared" ref="G52" si="14">H52/B52</f>
        <v>0</v>
      </c>
      <c r="H52" s="12">
        <f>H51+SUM(I52:Q52)</f>
        <v>0</v>
      </c>
      <c r="I52" s="12"/>
      <c r="J52" s="12"/>
      <c r="K52" s="12"/>
      <c r="L52" s="12"/>
      <c r="M52" s="12"/>
      <c r="N52" s="12"/>
      <c r="O52" s="12"/>
      <c r="P52" s="12"/>
      <c r="Q52" s="12"/>
    </row>
    <row r="53" spans="1:17" x14ac:dyDescent="0.2">
      <c r="A53" s="9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x14ac:dyDescent="0.2">
      <c r="A54" s="9" t="s">
        <v>43</v>
      </c>
      <c r="B54" s="4">
        <v>0.65</v>
      </c>
      <c r="C54" s="1" t="s">
        <v>29</v>
      </c>
      <c r="F54" s="2" t="s">
        <v>12</v>
      </c>
      <c r="G54" s="12"/>
      <c r="H54" s="12">
        <f>SUM(I54:Q54)</f>
        <v>99000</v>
      </c>
      <c r="I54" s="12">
        <v>42000</v>
      </c>
      <c r="J54" s="12">
        <v>15000</v>
      </c>
      <c r="K54" s="12">
        <v>20000</v>
      </c>
      <c r="L54" s="12">
        <v>9000</v>
      </c>
      <c r="M54" s="12">
        <v>5000</v>
      </c>
      <c r="N54" s="12">
        <v>5000</v>
      </c>
      <c r="O54" s="12"/>
      <c r="P54" s="12">
        <v>3000</v>
      </c>
      <c r="Q54" s="12"/>
    </row>
    <row r="55" spans="1:17" x14ac:dyDescent="0.2">
      <c r="A55" s="9"/>
      <c r="B55" s="5" t="s">
        <v>15</v>
      </c>
      <c r="F55" s="2" t="s">
        <v>14</v>
      </c>
      <c r="G55" s="12">
        <f>H55/1</f>
        <v>0</v>
      </c>
      <c r="H55" s="12">
        <f>SUM(I55:Q55)</f>
        <v>0</v>
      </c>
      <c r="I55" s="12"/>
      <c r="J55" s="12"/>
      <c r="K55" s="12"/>
      <c r="L55" s="12"/>
      <c r="M55" s="12"/>
      <c r="N55" s="12"/>
      <c r="O55" s="12"/>
      <c r="P55" s="12"/>
      <c r="Q55" s="12"/>
    </row>
    <row r="56" spans="1:17" x14ac:dyDescent="0.2">
      <c r="A56" s="9"/>
      <c r="B56" s="5">
        <v>2</v>
      </c>
      <c r="F56" s="2" t="s">
        <v>14</v>
      </c>
      <c r="G56" s="12">
        <f t="shared" ref="G56" si="15">H56/B56</f>
        <v>0</v>
      </c>
      <c r="H56" s="12">
        <f>H55+SUM(I56:Q56)</f>
        <v>0</v>
      </c>
      <c r="I56" s="12"/>
      <c r="J56" s="12"/>
      <c r="K56" s="12"/>
      <c r="L56" s="12"/>
      <c r="M56" s="12"/>
      <c r="N56" s="12"/>
      <c r="O56" s="12"/>
      <c r="P56" s="12"/>
      <c r="Q56" s="12"/>
    </row>
    <row r="57" spans="1:17" x14ac:dyDescent="0.2">
      <c r="A57" s="9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 x14ac:dyDescent="0.2">
      <c r="A58" s="9" t="s">
        <v>88</v>
      </c>
      <c r="B58" s="4">
        <v>0.53200000000000003</v>
      </c>
      <c r="C58" s="1" t="s">
        <v>47</v>
      </c>
      <c r="F58" s="2" t="s">
        <v>12</v>
      </c>
      <c r="G58" s="12"/>
      <c r="H58" s="12">
        <f>SUM(I58:Q58)</f>
        <v>91700</v>
      </c>
      <c r="I58" s="12">
        <v>48000</v>
      </c>
      <c r="J58" s="12">
        <v>9000</v>
      </c>
      <c r="K58" s="12">
        <f>2800*5</f>
        <v>14000</v>
      </c>
      <c r="L58" s="12">
        <v>8500</v>
      </c>
      <c r="M58" s="12">
        <v>2000</v>
      </c>
      <c r="N58" s="12">
        <v>5000</v>
      </c>
      <c r="O58" s="12">
        <v>2200</v>
      </c>
      <c r="P58" s="12">
        <v>3000</v>
      </c>
      <c r="Q58" s="12"/>
    </row>
    <row r="59" spans="1:17" x14ac:dyDescent="0.2">
      <c r="A59" s="9"/>
      <c r="B59" s="5" t="s">
        <v>15</v>
      </c>
      <c r="F59" s="2" t="s">
        <v>14</v>
      </c>
      <c r="G59" s="12">
        <f>H59/1</f>
        <v>0</v>
      </c>
      <c r="H59" s="12">
        <f>SUM(I59:Q59)</f>
        <v>0</v>
      </c>
      <c r="I59" s="12"/>
      <c r="J59" s="12"/>
      <c r="K59" s="12"/>
      <c r="L59" s="12"/>
      <c r="M59" s="12"/>
      <c r="N59" s="12"/>
      <c r="O59" s="12"/>
      <c r="P59" s="12"/>
      <c r="Q59" s="12"/>
    </row>
    <row r="60" spans="1:17" x14ac:dyDescent="0.2">
      <c r="A60" s="9"/>
      <c r="B60" s="5">
        <v>2</v>
      </c>
      <c r="F60" s="2" t="s">
        <v>14</v>
      </c>
      <c r="G60" s="12">
        <f t="shared" ref="G60" si="16">H60/B60</f>
        <v>0</v>
      </c>
      <c r="H60" s="12">
        <f>H59+SUM(I60:Q60)</f>
        <v>0</v>
      </c>
      <c r="I60" s="12"/>
      <c r="J60" s="12"/>
      <c r="K60" s="12"/>
      <c r="L60" s="12"/>
      <c r="M60" s="12"/>
      <c r="N60" s="12"/>
      <c r="O60" s="12"/>
      <c r="P60" s="12"/>
      <c r="Q60" s="12"/>
    </row>
    <row r="61" spans="1:17" x14ac:dyDescent="0.2">
      <c r="A61" s="9"/>
      <c r="G61" s="12" t="e">
        <f t="shared" si="4"/>
        <v>#DIV/0!</v>
      </c>
      <c r="H61" s="12">
        <f t="shared" si="5"/>
        <v>0</v>
      </c>
      <c r="I61" s="12"/>
      <c r="J61" s="12"/>
      <c r="K61" s="12"/>
      <c r="L61" s="12"/>
      <c r="M61" s="12"/>
      <c r="N61" s="12"/>
      <c r="O61" s="12"/>
      <c r="P61" s="12"/>
      <c r="Q61" s="12"/>
    </row>
    <row r="62" spans="1:17" x14ac:dyDescent="0.2">
      <c r="A62" s="9" t="s">
        <v>87</v>
      </c>
      <c r="B62" s="4">
        <v>7.4000000000000003E-3</v>
      </c>
      <c r="C62" s="1" t="s">
        <v>48</v>
      </c>
      <c r="F62" s="2" t="s">
        <v>12</v>
      </c>
      <c r="G62" s="12"/>
      <c r="H62" s="12">
        <f>SUM(I62:Q62)</f>
        <v>107000</v>
      </c>
      <c r="I62" s="12">
        <v>45000</v>
      </c>
      <c r="J62" s="12">
        <v>12000</v>
      </c>
      <c r="K62" s="12">
        <v>25000</v>
      </c>
      <c r="L62" s="12">
        <v>10000</v>
      </c>
      <c r="M62" s="12"/>
      <c r="N62" s="12">
        <v>7000</v>
      </c>
      <c r="O62" s="12">
        <v>5000</v>
      </c>
      <c r="P62" s="12">
        <v>3000</v>
      </c>
      <c r="Q62" s="12"/>
    </row>
    <row r="63" spans="1:17" x14ac:dyDescent="0.2">
      <c r="A63" s="9"/>
      <c r="B63" s="5" t="s">
        <v>15</v>
      </c>
      <c r="F63" s="2" t="s">
        <v>14</v>
      </c>
      <c r="G63" s="12">
        <f>H63/1</f>
        <v>0</v>
      </c>
      <c r="H63" s="12">
        <f>SUM(I63:Q63)</f>
        <v>0</v>
      </c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2">
      <c r="A64" s="9"/>
      <c r="B64" s="5">
        <v>2</v>
      </c>
      <c r="F64" s="2" t="s">
        <v>14</v>
      </c>
      <c r="G64" s="12">
        <f t="shared" ref="G64" si="17">H64/B64</f>
        <v>0</v>
      </c>
      <c r="H64" s="12">
        <f>H63+SUM(I64:Q64)</f>
        <v>0</v>
      </c>
      <c r="I64" s="12"/>
      <c r="J64" s="12"/>
      <c r="K64" s="12"/>
      <c r="L64" s="12"/>
      <c r="M64" s="12"/>
      <c r="N64" s="12"/>
      <c r="O64" s="12"/>
      <c r="P64" s="12"/>
      <c r="Q64" s="12"/>
    </row>
    <row r="65" spans="1:17" x14ac:dyDescent="0.2">
      <c r="A65" s="9"/>
      <c r="G65" s="12" t="e">
        <f t="shared" si="4"/>
        <v>#DIV/0!</v>
      </c>
      <c r="H65" s="12">
        <f t="shared" si="5"/>
        <v>0</v>
      </c>
      <c r="I65" s="12"/>
      <c r="J65" s="12"/>
      <c r="K65" s="12"/>
      <c r="L65" s="12"/>
      <c r="M65" s="12"/>
      <c r="N65" s="12"/>
      <c r="O65" s="12"/>
      <c r="P65" s="12"/>
      <c r="Q65" s="12"/>
    </row>
    <row r="66" spans="1:17" x14ac:dyDescent="0.2">
      <c r="A66" s="9" t="s">
        <v>89</v>
      </c>
      <c r="B66" s="4">
        <v>0.218</v>
      </c>
      <c r="C66" s="1" t="s">
        <v>80</v>
      </c>
      <c r="D66" t="s">
        <v>49</v>
      </c>
      <c r="F66" s="2" t="s">
        <v>12</v>
      </c>
      <c r="G66" s="12"/>
      <c r="H66" s="12">
        <f>SUM(I66:Q66)</f>
        <v>140000</v>
      </c>
      <c r="I66" s="12">
        <v>65000</v>
      </c>
      <c r="J66" s="12">
        <v>7000</v>
      </c>
      <c r="K66" s="12">
        <v>35000</v>
      </c>
      <c r="L66" s="12">
        <v>18000</v>
      </c>
      <c r="M66" s="12"/>
      <c r="N66" s="12"/>
      <c r="O66" s="12">
        <v>12000</v>
      </c>
      <c r="P66" s="12">
        <v>3000</v>
      </c>
      <c r="Q66" s="12"/>
    </row>
    <row r="67" spans="1:17" x14ac:dyDescent="0.2">
      <c r="A67" s="9"/>
      <c r="B67" s="5" t="s">
        <v>15</v>
      </c>
      <c r="F67" s="2" t="s">
        <v>14</v>
      </c>
      <c r="G67" s="12">
        <f>H67/1</f>
        <v>0</v>
      </c>
      <c r="H67" s="12">
        <f>SUM(I67:Q67)</f>
        <v>0</v>
      </c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2">
      <c r="A68" s="9"/>
      <c r="B68" s="5">
        <v>2</v>
      </c>
      <c r="F68" s="2" t="s">
        <v>14</v>
      </c>
      <c r="G68" s="12">
        <f t="shared" ref="G68" si="18">H68/B68</f>
        <v>0</v>
      </c>
      <c r="H68" s="12">
        <f>H67+SUM(I68:Q68)</f>
        <v>0</v>
      </c>
      <c r="I68" s="12"/>
      <c r="J68" s="12"/>
      <c r="K68" s="12"/>
      <c r="L68" s="12"/>
      <c r="M68" s="12"/>
      <c r="N68" s="12"/>
      <c r="O68" s="12"/>
      <c r="P68" s="12"/>
      <c r="Q68" s="12"/>
    </row>
    <row r="69" spans="1:17" x14ac:dyDescent="0.2">
      <c r="A69" s="9"/>
      <c r="G69" s="12" t="e">
        <f t="shared" si="4"/>
        <v>#DIV/0!</v>
      </c>
      <c r="H69" s="12">
        <f t="shared" si="5"/>
        <v>0</v>
      </c>
      <c r="I69" s="12"/>
      <c r="J69" s="12"/>
      <c r="K69" s="12"/>
      <c r="L69" s="12"/>
      <c r="M69" s="12"/>
      <c r="N69" s="12"/>
      <c r="O69" s="12"/>
      <c r="P69" s="12"/>
      <c r="Q69" s="12"/>
    </row>
    <row r="70" spans="1:17" x14ac:dyDescent="0.2">
      <c r="A70" s="9" t="s">
        <v>44</v>
      </c>
      <c r="B70" s="4">
        <v>7.0000000000000007E-2</v>
      </c>
      <c r="C70" s="1" t="s">
        <v>31</v>
      </c>
      <c r="F70" s="2" t="s">
        <v>12</v>
      </c>
      <c r="G70" s="12"/>
      <c r="H70" s="12">
        <f>SUM(I70:Q70)</f>
        <v>119000</v>
      </c>
      <c r="I70" s="12">
        <v>42000</v>
      </c>
      <c r="J70" s="12">
        <v>10000</v>
      </c>
      <c r="K70" s="12">
        <v>23000</v>
      </c>
      <c r="L70" s="12">
        <v>10000</v>
      </c>
      <c r="M70" s="12">
        <v>25000</v>
      </c>
      <c r="N70" s="12"/>
      <c r="O70" s="12">
        <v>6000</v>
      </c>
      <c r="P70" s="12">
        <v>3000</v>
      </c>
      <c r="Q70" s="12"/>
    </row>
    <row r="71" spans="1:17" x14ac:dyDescent="0.2">
      <c r="A71" s="9"/>
      <c r="B71" s="5" t="s">
        <v>15</v>
      </c>
      <c r="F71" s="2" t="s">
        <v>14</v>
      </c>
      <c r="G71" s="12">
        <f>H71/1</f>
        <v>0</v>
      </c>
      <c r="H71" s="12">
        <f>SUM(I71:Q71)</f>
        <v>0</v>
      </c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2">
      <c r="A72" s="9"/>
      <c r="B72" s="5">
        <v>2</v>
      </c>
      <c r="F72" s="2" t="s">
        <v>14</v>
      </c>
      <c r="G72" s="12">
        <f t="shared" ref="G72" si="19">H72/B72</f>
        <v>0</v>
      </c>
      <c r="H72" s="12">
        <f>H71+SUM(I72:Q72)</f>
        <v>0</v>
      </c>
      <c r="I72" s="12"/>
      <c r="J72" s="12"/>
      <c r="K72" s="12"/>
      <c r="L72" s="12"/>
      <c r="M72" s="12"/>
      <c r="N72" s="12"/>
      <c r="O72" s="12"/>
      <c r="P72" s="12"/>
      <c r="Q72" s="12"/>
    </row>
    <row r="73" spans="1:17" x14ac:dyDescent="0.2">
      <c r="A73" s="9"/>
      <c r="G73" s="12" t="e">
        <f t="shared" si="4"/>
        <v>#DIV/0!</v>
      </c>
      <c r="H73" s="12">
        <f t="shared" si="5"/>
        <v>0</v>
      </c>
      <c r="I73" s="12"/>
      <c r="J73" s="12"/>
      <c r="K73" s="12"/>
      <c r="L73" s="12"/>
      <c r="M73" s="12"/>
      <c r="N73" s="12"/>
      <c r="O73" s="12"/>
      <c r="P73" s="12"/>
      <c r="Q73" s="12"/>
    </row>
    <row r="74" spans="1:17" x14ac:dyDescent="0.2">
      <c r="A74" s="9" t="s">
        <v>45</v>
      </c>
      <c r="B74" s="4">
        <v>1.2999999999999999E-2</v>
      </c>
      <c r="C74" s="1" t="s">
        <v>32</v>
      </c>
      <c r="F74" s="2" t="s">
        <v>12</v>
      </c>
      <c r="G74" s="12"/>
      <c r="H74" s="12">
        <f>SUM(I74:Q74)</f>
        <v>99500</v>
      </c>
      <c r="I74" s="12">
        <v>35000</v>
      </c>
      <c r="J74" s="12">
        <v>5000</v>
      </c>
      <c r="K74" s="12">
        <v>28000</v>
      </c>
      <c r="L74" s="12">
        <v>15000</v>
      </c>
      <c r="M74" s="12">
        <v>11000</v>
      </c>
      <c r="N74" s="12"/>
      <c r="O74" s="12">
        <v>2500</v>
      </c>
      <c r="P74" s="12">
        <v>3000</v>
      </c>
      <c r="Q74" s="12"/>
    </row>
    <row r="75" spans="1:17" x14ac:dyDescent="0.2">
      <c r="A75" s="9"/>
      <c r="B75" s="5" t="s">
        <v>15</v>
      </c>
      <c r="F75" s="2" t="s">
        <v>14</v>
      </c>
      <c r="G75" s="12">
        <f>H75/1</f>
        <v>0</v>
      </c>
      <c r="H75" s="12">
        <f>SUM(I75:Q75)</f>
        <v>0</v>
      </c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2">
      <c r="A76" s="9"/>
      <c r="B76" s="5">
        <v>2</v>
      </c>
      <c r="F76" s="2" t="s">
        <v>14</v>
      </c>
      <c r="G76" s="12">
        <f t="shared" ref="G76" si="20">H76/B76</f>
        <v>0</v>
      </c>
      <c r="H76" s="12">
        <f>H75+SUM(I76:Q76)</f>
        <v>0</v>
      </c>
      <c r="I76" s="12"/>
      <c r="J76" s="12"/>
      <c r="K76" s="12"/>
      <c r="L76" s="12"/>
      <c r="M76" s="12"/>
      <c r="N76" s="12"/>
      <c r="O76" s="12"/>
      <c r="P76" s="12"/>
      <c r="Q76" s="12"/>
    </row>
    <row r="77" spans="1:17" x14ac:dyDescent="0.2">
      <c r="A77" s="9"/>
      <c r="G77" s="12" t="e">
        <f t="shared" si="4"/>
        <v>#DIV/0!</v>
      </c>
      <c r="H77" s="12">
        <f t="shared" si="5"/>
        <v>0</v>
      </c>
      <c r="I77" s="12"/>
      <c r="J77" s="12"/>
      <c r="K77" s="12"/>
      <c r="L77" s="12"/>
      <c r="M77" s="12"/>
      <c r="N77" s="12"/>
      <c r="O77" s="12"/>
      <c r="P77" s="12"/>
      <c r="Q77" s="12"/>
    </row>
    <row r="78" spans="1:17" x14ac:dyDescent="0.2">
      <c r="A78" s="9" t="s">
        <v>46</v>
      </c>
      <c r="B78" s="4">
        <v>1.67</v>
      </c>
      <c r="C78" s="1" t="s">
        <v>33</v>
      </c>
      <c r="F78" s="2" t="s">
        <v>12</v>
      </c>
      <c r="G78" s="12"/>
      <c r="H78" s="12">
        <f>SUM(I78:Q78)</f>
        <v>154000</v>
      </c>
      <c r="I78" s="12">
        <v>65000</v>
      </c>
      <c r="J78" s="12">
        <v>25000</v>
      </c>
      <c r="K78" s="12">
        <v>30000</v>
      </c>
      <c r="L78" s="12">
        <v>16000</v>
      </c>
      <c r="M78" s="12"/>
      <c r="N78" s="12">
        <v>12000</v>
      </c>
      <c r="O78" s="12">
        <v>3000</v>
      </c>
      <c r="P78" s="12">
        <v>3000</v>
      </c>
      <c r="Q78" s="12"/>
    </row>
    <row r="79" spans="1:17" x14ac:dyDescent="0.2">
      <c r="A79" s="9"/>
      <c r="B79" s="5" t="s">
        <v>15</v>
      </c>
      <c r="F79" s="2" t="s">
        <v>14</v>
      </c>
      <c r="G79" s="12">
        <f>H79/1</f>
        <v>0</v>
      </c>
      <c r="H79" s="12">
        <f>SUM(I79:Q79)</f>
        <v>0</v>
      </c>
      <c r="I79" s="12"/>
      <c r="J79" s="12"/>
      <c r="K79" s="12"/>
      <c r="L79" s="12"/>
      <c r="M79" s="12"/>
      <c r="N79" s="12"/>
      <c r="O79" s="12"/>
      <c r="P79" s="12"/>
      <c r="Q79" s="12"/>
    </row>
    <row r="80" spans="1:17" x14ac:dyDescent="0.2">
      <c r="A80" s="9"/>
      <c r="B80" s="5">
        <v>2</v>
      </c>
      <c r="F80" s="2" t="s">
        <v>14</v>
      </c>
      <c r="G80" s="12">
        <f t="shared" ref="G80" si="21">H80/B80</f>
        <v>0</v>
      </c>
      <c r="H80" s="12">
        <f>H79+SUM(I80:Q80)</f>
        <v>0</v>
      </c>
      <c r="I80" s="12"/>
      <c r="J80" s="12"/>
      <c r="K80" s="12"/>
      <c r="L80" s="12"/>
      <c r="M80" s="12"/>
      <c r="N80" s="12"/>
      <c r="O80" s="12"/>
      <c r="P80" s="12"/>
      <c r="Q80" s="12"/>
    </row>
    <row r="81" spans="1:17" x14ac:dyDescent="0.2">
      <c r="G81" s="12" t="e">
        <f t="shared" si="4"/>
        <v>#DIV/0!</v>
      </c>
      <c r="H81" s="12">
        <f t="shared" si="5"/>
        <v>0</v>
      </c>
      <c r="I81" s="12"/>
      <c r="J81" s="12"/>
      <c r="K81" s="12"/>
      <c r="L81" s="12"/>
      <c r="M81" s="12"/>
      <c r="N81" s="12"/>
      <c r="O81" s="12"/>
      <c r="P81" s="12"/>
      <c r="Q81" s="12"/>
    </row>
    <row r="82" spans="1:17" x14ac:dyDescent="0.2">
      <c r="A82" s="9" t="s">
        <v>85</v>
      </c>
      <c r="B82" s="4">
        <v>3.3</v>
      </c>
      <c r="C82" s="1" t="s">
        <v>86</v>
      </c>
      <c r="D82" t="s">
        <v>50</v>
      </c>
      <c r="F82" s="2" t="s">
        <v>12</v>
      </c>
      <c r="G82" s="12"/>
      <c r="H82" s="12">
        <f>SUM(I82:Q82)</f>
        <v>108000</v>
      </c>
      <c r="I82" s="12">
        <v>65000</v>
      </c>
      <c r="J82" s="12">
        <v>4000</v>
      </c>
      <c r="K82" s="12">
        <v>12000</v>
      </c>
      <c r="L82" s="12">
        <v>14000</v>
      </c>
      <c r="M82" s="12"/>
      <c r="N82" s="12"/>
      <c r="O82" s="12">
        <v>10000</v>
      </c>
      <c r="P82" s="12">
        <v>3000</v>
      </c>
      <c r="Q82" s="12"/>
    </row>
    <row r="83" spans="1:17" x14ac:dyDescent="0.2">
      <c r="A83" s="9"/>
      <c r="B83" s="5" t="s">
        <v>15</v>
      </c>
      <c r="F83" s="2" t="s">
        <v>14</v>
      </c>
      <c r="G83" s="12">
        <f>H83/1</f>
        <v>0</v>
      </c>
      <c r="H83" s="12">
        <f>SUM(I83:Q83)</f>
        <v>0</v>
      </c>
      <c r="I83" s="12"/>
      <c r="J83" s="12"/>
      <c r="K83" s="12"/>
      <c r="L83" s="12"/>
      <c r="M83" s="12"/>
      <c r="N83" s="12"/>
      <c r="O83" s="12"/>
      <c r="P83" s="12"/>
      <c r="Q83" s="12"/>
    </row>
    <row r="84" spans="1:17" x14ac:dyDescent="0.2">
      <c r="A84" s="9"/>
      <c r="B84" s="5">
        <v>2</v>
      </c>
      <c r="F84" s="2" t="s">
        <v>14</v>
      </c>
      <c r="G84" s="12">
        <f t="shared" ref="G84" si="22">H84/B84</f>
        <v>0</v>
      </c>
      <c r="H84" s="12">
        <f>H83+SUM(I84:Q84)</f>
        <v>0</v>
      </c>
      <c r="I84" s="12"/>
      <c r="J84" s="12"/>
      <c r="K84" s="12"/>
      <c r="L84" s="12"/>
      <c r="M84" s="12"/>
      <c r="N84" s="12"/>
      <c r="O84" s="12"/>
      <c r="P84" s="12"/>
      <c r="Q84" s="12"/>
    </row>
    <row r="85" spans="1:17" x14ac:dyDescent="0.2">
      <c r="G85" s="12" t="e">
        <f t="shared" ref="G85:G146" si="23">H85/B85</f>
        <v>#DIV/0!</v>
      </c>
      <c r="H85" s="12">
        <f t="shared" ref="H85:H145" si="24">H84+SUM(I85:Q85)</f>
        <v>0</v>
      </c>
      <c r="I85" s="12"/>
      <c r="J85" s="12"/>
      <c r="K85" s="12"/>
      <c r="L85" s="12"/>
      <c r="M85" s="12"/>
      <c r="N85" s="12"/>
      <c r="O85" s="12"/>
      <c r="P85" s="12"/>
      <c r="Q85" s="12"/>
    </row>
    <row r="86" spans="1:17" x14ac:dyDescent="0.2">
      <c r="A86" s="9" t="s">
        <v>64</v>
      </c>
      <c r="B86" s="11">
        <f>B3</f>
        <v>7.7160493827160498E-3</v>
      </c>
      <c r="C86" s="1" t="s">
        <v>51</v>
      </c>
      <c r="F86" s="2" t="s">
        <v>12</v>
      </c>
      <c r="G86" s="12"/>
      <c r="H86" s="12">
        <f>SUM(I86:Q86)</f>
        <v>128000</v>
      </c>
      <c r="I86" s="12">
        <v>65000</v>
      </c>
      <c r="J86" s="12">
        <v>10000</v>
      </c>
      <c r="K86" s="12">
        <v>16000</v>
      </c>
      <c r="L86" s="12">
        <v>16000</v>
      </c>
      <c r="M86" s="12"/>
      <c r="N86" s="12">
        <v>8000</v>
      </c>
      <c r="O86" s="12">
        <v>10000</v>
      </c>
      <c r="P86" s="12">
        <v>3000</v>
      </c>
      <c r="Q86" s="12"/>
    </row>
    <row r="87" spans="1:17" x14ac:dyDescent="0.2">
      <c r="A87" s="9"/>
      <c r="B87" s="5" t="s">
        <v>15</v>
      </c>
      <c r="F87" s="2" t="s">
        <v>14</v>
      </c>
      <c r="G87" s="12">
        <f>H87/1</f>
        <v>0</v>
      </c>
      <c r="H87" s="12">
        <f>SUM(I87:Q87)</f>
        <v>0</v>
      </c>
      <c r="I87" s="12"/>
      <c r="J87" s="12"/>
      <c r="K87" s="12"/>
      <c r="L87" s="12"/>
      <c r="M87" s="12"/>
      <c r="N87" s="12"/>
      <c r="O87" s="12"/>
      <c r="P87" s="12"/>
      <c r="Q87" s="12"/>
    </row>
    <row r="88" spans="1:17" x14ac:dyDescent="0.2">
      <c r="A88" s="9"/>
      <c r="B88" s="5">
        <v>2</v>
      </c>
      <c r="F88" s="2" t="s">
        <v>14</v>
      </c>
      <c r="G88" s="12">
        <f t="shared" ref="G88" si="25">H88/B88</f>
        <v>0</v>
      </c>
      <c r="H88" s="12">
        <f>H87+SUM(I88:Q88)</f>
        <v>0</v>
      </c>
      <c r="I88" s="12"/>
      <c r="J88" s="12"/>
      <c r="K88" s="12"/>
      <c r="L88" s="12"/>
      <c r="M88" s="12"/>
      <c r="N88" s="12"/>
      <c r="O88" s="12"/>
      <c r="P88" s="12"/>
      <c r="Q88" s="12"/>
    </row>
    <row r="89" spans="1:17" x14ac:dyDescent="0.2">
      <c r="G89" s="12" t="e">
        <f t="shared" si="23"/>
        <v>#DIV/0!</v>
      </c>
      <c r="H89" s="12">
        <f t="shared" si="24"/>
        <v>0</v>
      </c>
      <c r="I89" s="12"/>
      <c r="J89" s="12"/>
      <c r="K89" s="12"/>
      <c r="L89" s="12"/>
      <c r="M89" s="12"/>
      <c r="N89" s="12"/>
      <c r="O89" s="12"/>
      <c r="P89" s="12"/>
      <c r="Q89" s="12"/>
    </row>
    <row r="90" spans="1:17" x14ac:dyDescent="0.2">
      <c r="A90" s="9" t="s">
        <v>64</v>
      </c>
      <c r="B90" s="11">
        <f>B3</f>
        <v>7.7160493827160498E-3</v>
      </c>
      <c r="C90" s="1" t="s">
        <v>52</v>
      </c>
      <c r="F90" s="2" t="s">
        <v>12</v>
      </c>
      <c r="G90" s="12"/>
      <c r="H90" s="12">
        <f>SUM(I90:Q90)</f>
        <v>128000</v>
      </c>
      <c r="I90" s="12">
        <v>65000</v>
      </c>
      <c r="J90" s="12">
        <v>5000</v>
      </c>
      <c r="K90" s="12">
        <v>17000</v>
      </c>
      <c r="L90" s="12">
        <v>16000</v>
      </c>
      <c r="M90" s="12"/>
      <c r="N90" s="12"/>
      <c r="O90" s="12">
        <v>10000</v>
      </c>
      <c r="P90" s="12">
        <v>15000</v>
      </c>
      <c r="Q90" s="12"/>
    </row>
    <row r="91" spans="1:17" x14ac:dyDescent="0.2">
      <c r="A91" s="9"/>
      <c r="B91" s="5" t="s">
        <v>15</v>
      </c>
      <c r="F91" s="2" t="s">
        <v>14</v>
      </c>
      <c r="G91" s="12">
        <f>H91/1</f>
        <v>0</v>
      </c>
      <c r="H91" s="12">
        <f>SUM(I91:Q91)</f>
        <v>0</v>
      </c>
      <c r="I91" s="12"/>
      <c r="J91" s="12"/>
      <c r="K91" s="12"/>
      <c r="L91" s="12"/>
      <c r="M91" s="12"/>
      <c r="N91" s="12"/>
      <c r="O91" s="12"/>
      <c r="P91" s="12"/>
      <c r="Q91" s="12"/>
    </row>
    <row r="92" spans="1:17" x14ac:dyDescent="0.2">
      <c r="A92" s="9"/>
      <c r="B92" s="5">
        <v>2</v>
      </c>
      <c r="F92" s="2" t="s">
        <v>14</v>
      </c>
      <c r="G92" s="12">
        <f t="shared" ref="G92" si="26">H92/B92</f>
        <v>0</v>
      </c>
      <c r="H92" s="12">
        <f>H91+SUM(I92:Q92)</f>
        <v>0</v>
      </c>
      <c r="I92" s="12"/>
      <c r="J92" s="12"/>
      <c r="K92" s="12"/>
      <c r="L92" s="12"/>
      <c r="M92" s="12"/>
      <c r="N92" s="12"/>
      <c r="O92" s="12"/>
      <c r="P92" s="12"/>
      <c r="Q92" s="12"/>
    </row>
    <row r="93" spans="1:17" x14ac:dyDescent="0.2">
      <c r="G93" s="12" t="e">
        <f t="shared" si="23"/>
        <v>#DIV/0!</v>
      </c>
      <c r="H93" s="12">
        <f t="shared" si="24"/>
        <v>0</v>
      </c>
      <c r="I93" s="12"/>
      <c r="J93" s="12"/>
      <c r="K93" s="12"/>
      <c r="L93" s="12"/>
      <c r="M93" s="12"/>
      <c r="N93" s="12"/>
      <c r="O93" s="12"/>
      <c r="P93" s="12"/>
      <c r="Q93" s="12"/>
    </row>
    <row r="94" spans="1:17" x14ac:dyDescent="0.2">
      <c r="A94" s="9" t="s">
        <v>84</v>
      </c>
      <c r="B94" s="4">
        <v>6.7400000000000002E-2</v>
      </c>
      <c r="C94" s="1" t="s">
        <v>53</v>
      </c>
      <c r="F94" s="2" t="s">
        <v>12</v>
      </c>
      <c r="G94" s="12"/>
      <c r="H94" s="12">
        <f>SUM(I94:Q94)</f>
        <v>132000</v>
      </c>
      <c r="I94" s="12">
        <v>65000</v>
      </c>
      <c r="J94" s="12">
        <v>6000</v>
      </c>
      <c r="K94" s="12">
        <v>26000</v>
      </c>
      <c r="L94" s="12">
        <v>22000</v>
      </c>
      <c r="M94" s="12"/>
      <c r="N94" s="12"/>
      <c r="O94" s="12">
        <f>O90</f>
        <v>10000</v>
      </c>
      <c r="P94" s="12">
        <v>3000</v>
      </c>
      <c r="Q94" s="12"/>
    </row>
    <row r="95" spans="1:17" x14ac:dyDescent="0.2">
      <c r="A95" s="9"/>
      <c r="B95" s="5" t="s">
        <v>15</v>
      </c>
      <c r="F95" s="2" t="s">
        <v>14</v>
      </c>
      <c r="G95" s="12">
        <f>H95/1</f>
        <v>0</v>
      </c>
      <c r="H95" s="12">
        <f>SUM(I95:Q95)</f>
        <v>0</v>
      </c>
      <c r="I95" s="12"/>
      <c r="J95" s="12"/>
      <c r="K95" s="12"/>
      <c r="L95" s="12"/>
      <c r="M95" s="12"/>
      <c r="N95" s="12"/>
      <c r="O95" s="12"/>
      <c r="P95" s="12"/>
      <c r="Q95" s="12"/>
    </row>
    <row r="96" spans="1:17" x14ac:dyDescent="0.2">
      <c r="A96" s="9"/>
      <c r="B96" s="5">
        <v>2</v>
      </c>
      <c r="F96" s="2" t="s">
        <v>14</v>
      </c>
      <c r="G96" s="12">
        <f t="shared" ref="G96" si="27">H96/B96</f>
        <v>0</v>
      </c>
      <c r="H96" s="12">
        <f>H95+SUM(I96:Q96)</f>
        <v>0</v>
      </c>
      <c r="I96" s="12"/>
      <c r="J96" s="12"/>
      <c r="K96" s="12"/>
      <c r="L96" s="12"/>
      <c r="M96" s="12"/>
      <c r="N96" s="12"/>
      <c r="O96" s="12"/>
      <c r="P96" s="12"/>
      <c r="Q96" s="12"/>
    </row>
    <row r="97" spans="1:17" x14ac:dyDescent="0.2">
      <c r="G97" s="12" t="e">
        <f t="shared" si="23"/>
        <v>#DIV/0!</v>
      </c>
      <c r="H97" s="12">
        <f t="shared" si="24"/>
        <v>0</v>
      </c>
      <c r="I97" s="12"/>
      <c r="J97" s="12"/>
      <c r="K97" s="12"/>
      <c r="L97" s="12"/>
      <c r="M97" s="12"/>
      <c r="N97" s="12"/>
      <c r="O97" s="12"/>
      <c r="P97" s="12"/>
      <c r="Q97" s="12"/>
    </row>
    <row r="98" spans="1:17" x14ac:dyDescent="0.2">
      <c r="A98" s="9" t="s">
        <v>84</v>
      </c>
      <c r="B98" s="4">
        <v>6.7400000000000002E-2</v>
      </c>
      <c r="C98" s="1" t="s">
        <v>54</v>
      </c>
      <c r="F98" s="2" t="s">
        <v>12</v>
      </c>
      <c r="G98" s="12"/>
      <c r="H98" s="12">
        <f>SUM(I98:Q98)</f>
        <v>126000</v>
      </c>
      <c r="I98" s="12">
        <v>28000</v>
      </c>
      <c r="J98" s="12"/>
      <c r="K98" s="12">
        <v>40000</v>
      </c>
      <c r="L98" s="12">
        <v>30000</v>
      </c>
      <c r="M98" s="12"/>
      <c r="N98" s="12">
        <v>15000</v>
      </c>
      <c r="O98" s="12">
        <f>O94</f>
        <v>10000</v>
      </c>
      <c r="P98" s="12">
        <v>3000</v>
      </c>
      <c r="Q98" s="12"/>
    </row>
    <row r="99" spans="1:17" x14ac:dyDescent="0.2">
      <c r="A99" s="9"/>
      <c r="B99" s="5" t="s">
        <v>15</v>
      </c>
      <c r="F99" s="2" t="s">
        <v>14</v>
      </c>
      <c r="G99" s="12">
        <f>H99/1</f>
        <v>0</v>
      </c>
      <c r="H99" s="12">
        <f>SUM(I99:Q99)</f>
        <v>0</v>
      </c>
      <c r="I99" s="12"/>
      <c r="J99" s="12"/>
      <c r="K99" s="12"/>
      <c r="L99" s="12"/>
      <c r="M99" s="12"/>
      <c r="N99" s="12"/>
      <c r="O99" s="12"/>
      <c r="P99" s="12"/>
      <c r="Q99" s="12"/>
    </row>
    <row r="100" spans="1:17" x14ac:dyDescent="0.2">
      <c r="A100" s="9"/>
      <c r="B100" s="5">
        <v>2</v>
      </c>
      <c r="F100" s="2" t="s">
        <v>14</v>
      </c>
      <c r="G100" s="12">
        <f t="shared" ref="G100" si="28">H100/B100</f>
        <v>0</v>
      </c>
      <c r="H100" s="12">
        <f>H99+SUM(I100:Q100)</f>
        <v>0</v>
      </c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17" x14ac:dyDescent="0.2">
      <c r="G101" s="12" t="e">
        <f t="shared" si="23"/>
        <v>#DIV/0!</v>
      </c>
      <c r="H101" s="12">
        <f t="shared" si="24"/>
        <v>0</v>
      </c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1:17" x14ac:dyDescent="0.2">
      <c r="A102" s="9" t="s">
        <v>83</v>
      </c>
      <c r="B102" s="4">
        <v>0.505</v>
      </c>
      <c r="C102" s="1" t="s">
        <v>55</v>
      </c>
      <c r="F102" s="2" t="s">
        <v>12</v>
      </c>
      <c r="G102" s="12"/>
      <c r="H102" s="12">
        <f>SUM(I102:Q102)</f>
        <v>105900</v>
      </c>
      <c r="I102" s="12">
        <v>50000</v>
      </c>
      <c r="J102" s="12">
        <v>4500</v>
      </c>
      <c r="K102" s="12">
        <v>25000</v>
      </c>
      <c r="L102" s="12">
        <v>11000</v>
      </c>
      <c r="M102" s="12"/>
      <c r="N102" s="12">
        <v>8000</v>
      </c>
      <c r="O102" s="12">
        <v>4400</v>
      </c>
      <c r="P102" s="12">
        <v>3000</v>
      </c>
      <c r="Q102" s="12"/>
    </row>
    <row r="103" spans="1:17" x14ac:dyDescent="0.2">
      <c r="A103" s="9"/>
      <c r="B103" s="5" t="s">
        <v>15</v>
      </c>
      <c r="F103" s="2" t="s">
        <v>14</v>
      </c>
      <c r="G103" s="12">
        <f>H103/1</f>
        <v>0</v>
      </c>
      <c r="H103" s="12">
        <f>SUM(I103:Q103)</f>
        <v>0</v>
      </c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17" x14ac:dyDescent="0.2">
      <c r="A104" s="9"/>
      <c r="B104" s="5">
        <v>2</v>
      </c>
      <c r="F104" s="2" t="s">
        <v>14</v>
      </c>
      <c r="G104" s="12">
        <f t="shared" ref="G104" si="29">H104/B104</f>
        <v>0</v>
      </c>
      <c r="H104" s="12">
        <f>H103+SUM(I104:Q104)</f>
        <v>0</v>
      </c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1:17" x14ac:dyDescent="0.2">
      <c r="G105" s="12" t="e">
        <f t="shared" si="23"/>
        <v>#DIV/0!</v>
      </c>
      <c r="H105" s="12">
        <f t="shared" si="24"/>
        <v>0</v>
      </c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1:17" x14ac:dyDescent="0.2">
      <c r="A106" s="9" t="s">
        <v>82</v>
      </c>
      <c r="B106" s="4">
        <v>2.8000000000000001E-2</v>
      </c>
      <c r="C106" s="1" t="s">
        <v>56</v>
      </c>
      <c r="F106" s="2" t="s">
        <v>12</v>
      </c>
      <c r="G106" s="12"/>
      <c r="H106" s="12">
        <f>SUM(I106:Q106)</f>
        <v>81000</v>
      </c>
      <c r="I106" s="12">
        <v>38000</v>
      </c>
      <c r="J106" s="12">
        <v>4000</v>
      </c>
      <c r="K106" s="12">
        <v>17000</v>
      </c>
      <c r="L106" s="12">
        <v>9000</v>
      </c>
      <c r="M106" s="12"/>
      <c r="N106" s="12">
        <v>7000</v>
      </c>
      <c r="O106" s="12">
        <v>3000</v>
      </c>
      <c r="P106" s="12">
        <v>3000</v>
      </c>
      <c r="Q106" s="12"/>
    </row>
    <row r="107" spans="1:17" x14ac:dyDescent="0.2">
      <c r="A107" s="9"/>
      <c r="B107" s="5" t="s">
        <v>15</v>
      </c>
      <c r="F107" s="2" t="s">
        <v>14</v>
      </c>
      <c r="G107" s="12">
        <f>H107/1</f>
        <v>0</v>
      </c>
      <c r="H107" s="12">
        <f>SUM(I107:Q107)</f>
        <v>0</v>
      </c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17" x14ac:dyDescent="0.2">
      <c r="A108" s="9"/>
      <c r="B108" s="5">
        <v>2</v>
      </c>
      <c r="F108" s="2" t="s">
        <v>14</v>
      </c>
      <c r="G108" s="12">
        <f t="shared" ref="G108" si="30">H108/B108</f>
        <v>0</v>
      </c>
      <c r="H108" s="12">
        <f>H107+SUM(I108:Q108)</f>
        <v>0</v>
      </c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1:17" x14ac:dyDescent="0.2">
      <c r="G109" s="12" t="e">
        <f t="shared" si="23"/>
        <v>#DIV/0!</v>
      </c>
      <c r="H109" s="12">
        <f t="shared" si="24"/>
        <v>0</v>
      </c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17" x14ac:dyDescent="0.2">
      <c r="A110" s="9" t="s">
        <v>81</v>
      </c>
      <c r="B110" s="4">
        <v>0.16900000000000001</v>
      </c>
      <c r="C110" s="1" t="s">
        <v>57</v>
      </c>
      <c r="F110" s="2" t="s">
        <v>12</v>
      </c>
      <c r="G110" s="12"/>
      <c r="H110" s="12">
        <f>SUM(I110:Q110)</f>
        <v>142000</v>
      </c>
      <c r="I110" s="12">
        <v>75000</v>
      </c>
      <c r="J110" s="12">
        <v>5000</v>
      </c>
      <c r="K110" s="12">
        <v>28000</v>
      </c>
      <c r="L110" s="12">
        <v>13000</v>
      </c>
      <c r="M110" s="12"/>
      <c r="N110" s="12">
        <v>15000</v>
      </c>
      <c r="O110" s="12">
        <v>3000</v>
      </c>
      <c r="P110" s="12">
        <v>3000</v>
      </c>
      <c r="Q110" s="12"/>
    </row>
    <row r="111" spans="1:17" x14ac:dyDescent="0.2">
      <c r="A111" s="9"/>
      <c r="B111" s="5" t="s">
        <v>15</v>
      </c>
      <c r="F111" s="2" t="s">
        <v>14</v>
      </c>
      <c r="G111" s="12">
        <f>H111/1</f>
        <v>0</v>
      </c>
      <c r="H111" s="12">
        <f>SUM(I111:Q111)</f>
        <v>0</v>
      </c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1:17" x14ac:dyDescent="0.2">
      <c r="A112" s="9"/>
      <c r="B112" s="5">
        <v>2</v>
      </c>
      <c r="F112" s="2" t="s">
        <v>14</v>
      </c>
      <c r="G112" s="12">
        <f t="shared" ref="G112" si="31">H112/B112</f>
        <v>0</v>
      </c>
      <c r="H112" s="12">
        <f>H111+SUM(I112:Q112)</f>
        <v>0</v>
      </c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17" x14ac:dyDescent="0.2">
      <c r="A113" s="9"/>
      <c r="G113" s="12" t="e">
        <f t="shared" si="23"/>
        <v>#DIV/0!</v>
      </c>
      <c r="H113" s="12">
        <f t="shared" si="24"/>
        <v>0</v>
      </c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17" x14ac:dyDescent="0.2">
      <c r="A114" s="9" t="s">
        <v>43</v>
      </c>
      <c r="B114" s="4">
        <v>33.39</v>
      </c>
      <c r="C114" s="1" t="s">
        <v>58</v>
      </c>
      <c r="F114" s="2" t="s">
        <v>12</v>
      </c>
      <c r="G114" s="12"/>
      <c r="H114" s="12">
        <f>SUM(I114:Q114)</f>
        <v>151400</v>
      </c>
      <c r="I114" s="12">
        <v>100000</v>
      </c>
      <c r="J114" s="12">
        <v>15000</v>
      </c>
      <c r="K114" s="12">
        <v>20000</v>
      </c>
      <c r="L114" s="12">
        <v>9000</v>
      </c>
      <c r="M114" s="12"/>
      <c r="N114" s="12"/>
      <c r="O114" s="12">
        <v>4400</v>
      </c>
      <c r="P114" s="12">
        <v>3000</v>
      </c>
      <c r="Q114" s="12"/>
    </row>
    <row r="115" spans="1:17" x14ac:dyDescent="0.2">
      <c r="A115" s="9"/>
      <c r="B115" s="5" t="s">
        <v>15</v>
      </c>
      <c r="F115" s="2" t="s">
        <v>14</v>
      </c>
      <c r="G115" s="12">
        <f>H115/1</f>
        <v>0</v>
      </c>
      <c r="H115" s="12">
        <f>SUM(I115:Q115)</f>
        <v>0</v>
      </c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1:17" x14ac:dyDescent="0.2">
      <c r="A116" s="9"/>
      <c r="B116" s="5">
        <v>2</v>
      </c>
      <c r="F116" s="2" t="s">
        <v>14</v>
      </c>
      <c r="G116" s="12">
        <f t="shared" ref="G116" si="32">H116/B116</f>
        <v>0</v>
      </c>
      <c r="H116" s="12">
        <f>H115+SUM(I116:Q116)</f>
        <v>0</v>
      </c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x14ac:dyDescent="0.2">
      <c r="A117" s="9"/>
      <c r="G117" s="12" t="e">
        <f t="shared" si="23"/>
        <v>#DIV/0!</v>
      </c>
      <c r="H117" s="12">
        <f t="shared" si="24"/>
        <v>0</v>
      </c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x14ac:dyDescent="0.2">
      <c r="A118" s="9" t="s">
        <v>71</v>
      </c>
      <c r="B118" s="4">
        <v>3.5000000000000003E-2</v>
      </c>
      <c r="C118" s="1" t="s">
        <v>59</v>
      </c>
      <c r="F118" s="2" t="s">
        <v>12</v>
      </c>
      <c r="G118" s="12"/>
      <c r="H118" s="12">
        <f>SUM(I118:Q118)</f>
        <v>160300</v>
      </c>
      <c r="I118" s="12">
        <v>110000</v>
      </c>
      <c r="J118" s="12">
        <f>2500+14000</f>
        <v>16500</v>
      </c>
      <c r="K118" s="12">
        <f>1900*10</f>
        <v>19000</v>
      </c>
      <c r="L118" s="12">
        <f>900*10</f>
        <v>9000</v>
      </c>
      <c r="M118" s="12">
        <v>2800</v>
      </c>
      <c r="N118" s="12"/>
      <c r="O118" s="12"/>
      <c r="P118" s="12">
        <f>300*10</f>
        <v>3000</v>
      </c>
      <c r="Q118" s="12"/>
    </row>
    <row r="119" spans="1:17" x14ac:dyDescent="0.2">
      <c r="A119" s="9"/>
      <c r="B119" s="5" t="s">
        <v>15</v>
      </c>
      <c r="F119" s="2" t="s">
        <v>14</v>
      </c>
      <c r="G119" s="12">
        <f>H119/1</f>
        <v>0</v>
      </c>
      <c r="H119" s="12">
        <f>SUM(I119:Q119)</f>
        <v>0</v>
      </c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17" x14ac:dyDescent="0.2">
      <c r="A120" s="9"/>
      <c r="B120" s="5">
        <v>2</v>
      </c>
      <c r="F120" s="2" t="s">
        <v>14</v>
      </c>
      <c r="G120" s="12">
        <f t="shared" ref="G120" si="33">H120/B120</f>
        <v>0</v>
      </c>
      <c r="H120" s="12">
        <f>H119+SUM(I120:Q120)</f>
        <v>0</v>
      </c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17" x14ac:dyDescent="0.2">
      <c r="A121" s="9"/>
      <c r="G121" s="12" t="e">
        <f t="shared" si="23"/>
        <v>#DIV/0!</v>
      </c>
      <c r="H121" s="12">
        <f t="shared" si="24"/>
        <v>0</v>
      </c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17" x14ac:dyDescent="0.2">
      <c r="A122" s="9" t="s">
        <v>17</v>
      </c>
      <c r="B122" s="11">
        <f>B2</f>
        <v>1.0477787091366304E-2</v>
      </c>
      <c r="C122" s="1" t="s">
        <v>60</v>
      </c>
      <c r="F122" s="2" t="s">
        <v>12</v>
      </c>
      <c r="G122" s="12">
        <f t="shared" si="23"/>
        <v>14602320</v>
      </c>
      <c r="H122" s="12">
        <f>SUM(I122:Q122)</f>
        <v>153000</v>
      </c>
      <c r="I122" s="12">
        <v>115000</v>
      </c>
      <c r="J122" s="12">
        <f>400*10</f>
        <v>4000</v>
      </c>
      <c r="K122" s="12">
        <f>1800*10</f>
        <v>18000</v>
      </c>
      <c r="L122" s="12">
        <f>900*10</f>
        <v>9000</v>
      </c>
      <c r="M122" s="12">
        <f>4000</f>
        <v>4000</v>
      </c>
      <c r="N122" s="12"/>
      <c r="O122" s="12"/>
      <c r="P122" s="12">
        <v>3000</v>
      </c>
      <c r="Q122" s="12"/>
    </row>
    <row r="123" spans="1:17" x14ac:dyDescent="0.2">
      <c r="A123" s="9"/>
      <c r="B123" s="5" t="s">
        <v>15</v>
      </c>
      <c r="F123" s="2" t="s">
        <v>14</v>
      </c>
      <c r="G123" s="12">
        <f>H123/1</f>
        <v>0</v>
      </c>
      <c r="H123" s="12">
        <f>SUM(I123:Q123)</f>
        <v>0</v>
      </c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17" x14ac:dyDescent="0.2">
      <c r="A124" s="9"/>
      <c r="B124" s="5">
        <v>2</v>
      </c>
      <c r="F124" s="2" t="s">
        <v>14</v>
      </c>
      <c r="G124" s="12">
        <f t="shared" ref="G124" si="34">H124/B124</f>
        <v>0</v>
      </c>
      <c r="H124" s="12">
        <f>H123+SUM(I124:Q124)</f>
        <v>0</v>
      </c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17" x14ac:dyDescent="0.2">
      <c r="A125" s="9"/>
      <c r="G125" s="12" t="e">
        <f t="shared" si="23"/>
        <v>#DIV/0!</v>
      </c>
      <c r="H125" s="12">
        <f t="shared" si="24"/>
        <v>0</v>
      </c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17" x14ac:dyDescent="0.2">
      <c r="A126" s="9" t="s">
        <v>72</v>
      </c>
      <c r="B126" s="4">
        <v>7.1999999999999995E-2</v>
      </c>
      <c r="C126" s="1" t="s">
        <v>61</v>
      </c>
      <c r="F126" s="2" t="s">
        <v>12</v>
      </c>
      <c r="G126" s="12">
        <f t="shared" si="23"/>
        <v>2031944.4444444445</v>
      </c>
      <c r="H126" s="12">
        <f>SUM(I126:Q126)</f>
        <v>146300</v>
      </c>
      <c r="I126" s="12">
        <v>110000</v>
      </c>
      <c r="J126" s="12">
        <f>350*10</f>
        <v>3500</v>
      </c>
      <c r="K126" s="12">
        <f>700*10</f>
        <v>7000</v>
      </c>
      <c r="L126" s="12">
        <f>700*10</f>
        <v>7000</v>
      </c>
      <c r="M126" s="12">
        <v>10000</v>
      </c>
      <c r="N126" s="12"/>
      <c r="O126" s="12">
        <v>8800</v>
      </c>
      <c r="P126" s="12"/>
      <c r="Q126" s="12"/>
    </row>
    <row r="127" spans="1:17" x14ac:dyDescent="0.2">
      <c r="A127" s="9"/>
      <c r="B127" s="5" t="s">
        <v>15</v>
      </c>
      <c r="F127" s="2" t="s">
        <v>14</v>
      </c>
      <c r="G127" s="12">
        <f>H127/1</f>
        <v>0</v>
      </c>
      <c r="H127" s="12">
        <f>SUM(I127:Q127)</f>
        <v>0</v>
      </c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1:17" x14ac:dyDescent="0.2">
      <c r="A128" s="9"/>
      <c r="B128" s="5">
        <v>2</v>
      </c>
      <c r="F128" s="2" t="s">
        <v>14</v>
      </c>
      <c r="G128" s="12">
        <f t="shared" ref="G128" si="35">H128/B128</f>
        <v>0</v>
      </c>
      <c r="H128" s="12">
        <f>H127+SUM(I128:Q128)</f>
        <v>0</v>
      </c>
      <c r="I128" s="12"/>
      <c r="J128" s="12"/>
      <c r="K128" s="12"/>
      <c r="L128" s="12"/>
      <c r="M128" s="12"/>
      <c r="N128" s="12"/>
      <c r="O128" s="12"/>
      <c r="P128" s="12"/>
      <c r="Q128" s="12"/>
    </row>
    <row r="129" spans="1:17" x14ac:dyDescent="0.2">
      <c r="A129" s="9"/>
      <c r="G129" s="12" t="e">
        <f t="shared" si="23"/>
        <v>#DIV/0!</v>
      </c>
      <c r="H129" s="12">
        <f t="shared" si="24"/>
        <v>0</v>
      </c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1:17" x14ac:dyDescent="0.2">
      <c r="A130" s="9" t="s">
        <v>73</v>
      </c>
      <c r="B130" s="4">
        <v>8.1000000000000003E-2</v>
      </c>
      <c r="C130" s="1" t="s">
        <v>62</v>
      </c>
      <c r="F130" s="2" t="s">
        <v>12</v>
      </c>
      <c r="G130" s="12">
        <f t="shared" si="23"/>
        <v>1892592.5925925926</v>
      </c>
      <c r="H130" s="12">
        <f>SUM(I130:Q130)</f>
        <v>153300</v>
      </c>
      <c r="I130" s="12">
        <v>120000</v>
      </c>
      <c r="J130" s="12">
        <f>400*10</f>
        <v>4000</v>
      </c>
      <c r="K130" s="12">
        <f>750*10</f>
        <v>7500</v>
      </c>
      <c r="L130" s="12">
        <f>700*10</f>
        <v>7000</v>
      </c>
      <c r="M130" s="12">
        <f>1800+6000</f>
        <v>7800</v>
      </c>
      <c r="N130" s="12"/>
      <c r="O130" s="12">
        <v>4500</v>
      </c>
      <c r="P130" s="12">
        <v>2500</v>
      </c>
      <c r="Q130" s="12"/>
    </row>
    <row r="131" spans="1:17" x14ac:dyDescent="0.2">
      <c r="A131" s="9"/>
      <c r="B131" s="5" t="s">
        <v>15</v>
      </c>
      <c r="F131" s="2" t="s">
        <v>14</v>
      </c>
      <c r="G131" s="12">
        <f>H131/1</f>
        <v>0</v>
      </c>
      <c r="H131" s="12">
        <f>SUM(I131:Q131)</f>
        <v>0</v>
      </c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17" x14ac:dyDescent="0.2">
      <c r="A132" s="9"/>
      <c r="B132" s="5">
        <v>2</v>
      </c>
      <c r="F132" s="2" t="s">
        <v>14</v>
      </c>
      <c r="G132" s="12">
        <f t="shared" ref="G132" si="36">H132/B132</f>
        <v>0</v>
      </c>
      <c r="H132" s="12">
        <f>H131+SUM(I132:Q132)</f>
        <v>0</v>
      </c>
      <c r="I132" s="12"/>
      <c r="J132" s="12"/>
      <c r="K132" s="12"/>
      <c r="L132" s="12"/>
      <c r="M132" s="12"/>
      <c r="N132" s="12"/>
      <c r="O132" s="12"/>
      <c r="P132" s="12"/>
      <c r="Q132" s="12"/>
    </row>
    <row r="133" spans="1:17" x14ac:dyDescent="0.2">
      <c r="A133" s="9"/>
      <c r="G133" s="12" t="e">
        <f t="shared" si="23"/>
        <v>#DIV/0!</v>
      </c>
      <c r="H133" s="12">
        <f t="shared" si="24"/>
        <v>0</v>
      </c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17" x14ac:dyDescent="0.2">
      <c r="A134" s="9" t="s">
        <v>74</v>
      </c>
      <c r="B134" s="4">
        <v>0.38300000000000001</v>
      </c>
      <c r="C134" s="1" t="s">
        <v>63</v>
      </c>
      <c r="F134" s="2" t="s">
        <v>12</v>
      </c>
      <c r="G134" s="12">
        <f t="shared" si="23"/>
        <v>375979.11227154045</v>
      </c>
      <c r="H134" s="12">
        <f>SUM(I134:Q134)</f>
        <v>144000</v>
      </c>
      <c r="I134" s="12">
        <v>120000</v>
      </c>
      <c r="J134" s="12">
        <v>3500</v>
      </c>
      <c r="K134" s="12">
        <v>6500</v>
      </c>
      <c r="L134" s="12">
        <v>6500</v>
      </c>
      <c r="M134" s="12">
        <v>2000</v>
      </c>
      <c r="N134" s="12"/>
      <c r="O134" s="12">
        <v>3000</v>
      </c>
      <c r="P134" s="12">
        <v>2500</v>
      </c>
      <c r="Q134" s="12"/>
    </row>
    <row r="135" spans="1:17" x14ac:dyDescent="0.2">
      <c r="A135" s="9"/>
      <c r="B135" s="5" t="s">
        <v>15</v>
      </c>
      <c r="F135" s="2" t="s">
        <v>14</v>
      </c>
      <c r="G135" s="12">
        <f>H135/1</f>
        <v>0</v>
      </c>
      <c r="H135" s="12">
        <f>SUM(I135:Q135)</f>
        <v>0</v>
      </c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1:17" x14ac:dyDescent="0.2">
      <c r="A136" s="9"/>
      <c r="B136" s="5">
        <v>2</v>
      </c>
      <c r="F136" s="2" t="s">
        <v>14</v>
      </c>
      <c r="G136" s="12">
        <f t="shared" ref="G136" si="37">H136/B136</f>
        <v>0</v>
      </c>
      <c r="H136" s="12">
        <f>H135+SUM(I136:Q136)</f>
        <v>0</v>
      </c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1:17" x14ac:dyDescent="0.2">
      <c r="A137" s="9"/>
      <c r="G137" s="12" t="e">
        <f t="shared" si="23"/>
        <v>#DIV/0!</v>
      </c>
      <c r="H137" s="12">
        <f t="shared" si="24"/>
        <v>0</v>
      </c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1:17" x14ac:dyDescent="0.2">
      <c r="A138" s="9" t="s">
        <v>43</v>
      </c>
      <c r="B138" s="4">
        <v>0.17799999999999999</v>
      </c>
      <c r="C138" s="1" t="s">
        <v>65</v>
      </c>
      <c r="F138" s="2" t="s">
        <v>12</v>
      </c>
      <c r="G138" s="12">
        <f t="shared" si="23"/>
        <v>824719.10112359549</v>
      </c>
      <c r="H138" s="12">
        <f>SUM(I138:Q138)</f>
        <v>146800</v>
      </c>
      <c r="I138" s="12">
        <v>100000</v>
      </c>
      <c r="J138" s="12">
        <v>4500</v>
      </c>
      <c r="K138" s="12">
        <f>4500+10000</f>
        <v>14500</v>
      </c>
      <c r="L138" s="12">
        <v>9000</v>
      </c>
      <c r="M138" s="12">
        <v>4000</v>
      </c>
      <c r="N138" s="12">
        <v>7000</v>
      </c>
      <c r="O138" s="12">
        <v>4800</v>
      </c>
      <c r="P138" s="12">
        <v>3000</v>
      </c>
      <c r="Q138" s="12"/>
    </row>
    <row r="139" spans="1:17" x14ac:dyDescent="0.2">
      <c r="A139" s="9"/>
      <c r="B139" s="5" t="s">
        <v>15</v>
      </c>
      <c r="F139" s="2" t="s">
        <v>14</v>
      </c>
      <c r="G139" s="12">
        <f>H139/1</f>
        <v>0</v>
      </c>
      <c r="H139" s="12">
        <f>SUM(I139:Q139)</f>
        <v>0</v>
      </c>
      <c r="I139" s="12"/>
      <c r="J139" s="12"/>
      <c r="K139" s="12"/>
      <c r="L139" s="12"/>
      <c r="M139" s="12"/>
      <c r="N139" s="12"/>
      <c r="O139" s="12"/>
      <c r="P139" s="12"/>
      <c r="Q139" s="12"/>
    </row>
    <row r="140" spans="1:17" x14ac:dyDescent="0.2">
      <c r="A140" s="9"/>
      <c r="B140" s="5">
        <v>2</v>
      </c>
      <c r="F140" s="2" t="s">
        <v>14</v>
      </c>
      <c r="G140" s="12">
        <f t="shared" ref="G140" si="38">H140/B140</f>
        <v>0</v>
      </c>
      <c r="H140" s="12">
        <f>H139+SUM(I140:Q140)</f>
        <v>0</v>
      </c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1:17" x14ac:dyDescent="0.2">
      <c r="A141" s="9"/>
      <c r="G141" s="12" t="e">
        <f t="shared" si="23"/>
        <v>#DIV/0!</v>
      </c>
      <c r="H141" s="12">
        <f t="shared" si="24"/>
        <v>0</v>
      </c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1:17" x14ac:dyDescent="0.2">
      <c r="A142" s="9" t="s">
        <v>76</v>
      </c>
      <c r="B142" s="4">
        <v>0.91600000000000004</v>
      </c>
      <c r="C142" s="1" t="s">
        <v>66</v>
      </c>
      <c r="F142" s="2" t="s">
        <v>12</v>
      </c>
      <c r="G142" s="12">
        <f t="shared" si="23"/>
        <v>83515.283842794757</v>
      </c>
      <c r="H142" s="12">
        <f>SUM(I142:Q142)</f>
        <v>76500</v>
      </c>
      <c r="I142" s="12">
        <v>32000</v>
      </c>
      <c r="J142" s="12">
        <f>1200*5+400*5</f>
        <v>8000</v>
      </c>
      <c r="K142" s="12">
        <f>1300*10</f>
        <v>13000</v>
      </c>
      <c r="L142" s="12">
        <f>700*10</f>
        <v>7000</v>
      </c>
      <c r="M142" s="12">
        <v>6000</v>
      </c>
      <c r="N142" s="12">
        <v>8000</v>
      </c>
      <c r="O142" s="12"/>
      <c r="P142" s="12">
        <v>2500</v>
      </c>
      <c r="Q142" s="12"/>
    </row>
    <row r="143" spans="1:17" x14ac:dyDescent="0.2">
      <c r="A143" s="9"/>
      <c r="B143" s="5" t="s">
        <v>15</v>
      </c>
      <c r="F143" s="2" t="s">
        <v>14</v>
      </c>
      <c r="G143" s="12">
        <f>H143/1</f>
        <v>0</v>
      </c>
      <c r="H143" s="12">
        <f>SUM(I143:Q143)</f>
        <v>0</v>
      </c>
      <c r="I143" s="12"/>
      <c r="J143" s="12"/>
      <c r="K143" s="12"/>
      <c r="L143" s="12"/>
      <c r="M143" s="12"/>
      <c r="N143" s="12"/>
      <c r="O143" s="12"/>
      <c r="P143" s="12"/>
      <c r="Q143" s="12"/>
    </row>
    <row r="144" spans="1:17" x14ac:dyDescent="0.2">
      <c r="A144" s="9"/>
      <c r="B144" s="5">
        <v>2</v>
      </c>
      <c r="F144" s="2" t="s">
        <v>14</v>
      </c>
      <c r="G144" s="12">
        <f t="shared" ref="G144" si="39">H144/B144</f>
        <v>0</v>
      </c>
      <c r="H144" s="12">
        <f>H143+SUM(I144:Q144)</f>
        <v>0</v>
      </c>
      <c r="I144" s="12"/>
      <c r="J144" s="12"/>
      <c r="K144" s="12"/>
      <c r="L144" s="12"/>
      <c r="M144" s="12"/>
      <c r="N144" s="12"/>
      <c r="O144" s="12"/>
      <c r="P144" s="12"/>
      <c r="Q144" s="12"/>
    </row>
    <row r="145" spans="1:17" x14ac:dyDescent="0.2">
      <c r="A145" s="9"/>
      <c r="G145" s="12" t="e">
        <f t="shared" si="23"/>
        <v>#DIV/0!</v>
      </c>
      <c r="H145" s="12">
        <f t="shared" si="24"/>
        <v>0</v>
      </c>
      <c r="I145" s="12"/>
      <c r="J145" s="12"/>
      <c r="K145" s="12"/>
      <c r="L145" s="12"/>
      <c r="M145" s="12"/>
      <c r="N145" s="12"/>
      <c r="O145" s="12"/>
      <c r="P145" s="12"/>
      <c r="Q145" s="12"/>
    </row>
    <row r="146" spans="1:17" x14ac:dyDescent="0.2">
      <c r="A146" s="9" t="s">
        <v>75</v>
      </c>
      <c r="B146" s="4">
        <v>124.5</v>
      </c>
      <c r="C146" s="1" t="s">
        <v>67</v>
      </c>
      <c r="D146" t="s">
        <v>90</v>
      </c>
      <c r="F146" s="2" t="s">
        <v>12</v>
      </c>
      <c r="G146" s="12">
        <f t="shared" si="23"/>
        <v>582.32931726907634</v>
      </c>
      <c r="H146" s="12">
        <f>SUM(I146:Q146)</f>
        <v>72500</v>
      </c>
      <c r="I146" s="12">
        <v>30000</v>
      </c>
      <c r="J146" s="12">
        <v>14000</v>
      </c>
      <c r="K146" s="12">
        <v>14000</v>
      </c>
      <c r="L146" s="12">
        <v>7000</v>
      </c>
      <c r="M146" s="12">
        <v>2000</v>
      </c>
      <c r="N146" s="12"/>
      <c r="O146" s="12">
        <v>3000</v>
      </c>
      <c r="P146" s="12">
        <v>2500</v>
      </c>
      <c r="Q146" s="12"/>
    </row>
    <row r="147" spans="1:17" x14ac:dyDescent="0.2">
      <c r="A147" s="9"/>
      <c r="B147" s="5" t="s">
        <v>15</v>
      </c>
      <c r="F147" s="2" t="s">
        <v>14</v>
      </c>
      <c r="G147" s="12">
        <f>H147/1</f>
        <v>0</v>
      </c>
      <c r="H147" s="12">
        <f>SUM(I147:Q147)</f>
        <v>0</v>
      </c>
      <c r="I147" s="12"/>
      <c r="J147" s="12"/>
      <c r="K147" s="12"/>
      <c r="L147" s="12"/>
      <c r="M147" s="12"/>
      <c r="N147" s="12"/>
      <c r="O147" s="12"/>
      <c r="P147" s="12"/>
      <c r="Q147" s="12"/>
    </row>
    <row r="148" spans="1:17" x14ac:dyDescent="0.2">
      <c r="A148" s="9"/>
      <c r="B148" s="5">
        <v>2</v>
      </c>
      <c r="F148" s="2" t="s">
        <v>14</v>
      </c>
      <c r="G148" s="12">
        <f t="shared" ref="G148" si="40">H148/B148</f>
        <v>0</v>
      </c>
      <c r="H148" s="12">
        <f>H147+SUM(I148:Q148)</f>
        <v>0</v>
      </c>
      <c r="I148" s="12"/>
      <c r="J148" s="12"/>
      <c r="K148" s="12"/>
      <c r="L148" s="12"/>
      <c r="M148" s="12"/>
      <c r="N148" s="12"/>
      <c r="O148" s="12"/>
      <c r="P148" s="12"/>
      <c r="Q148" s="12"/>
    </row>
    <row r="149" spans="1:17" x14ac:dyDescent="0.2">
      <c r="A149" s="9"/>
      <c r="G149" s="12" t="e">
        <f t="shared" ref="G149:G164" si="41">H149/B149</f>
        <v>#DIV/0!</v>
      </c>
      <c r="H149" s="12">
        <f t="shared" ref="H149:H164" si="42">H148+SUM(I149:Q149)</f>
        <v>0</v>
      </c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 x14ac:dyDescent="0.2">
      <c r="A150" s="9" t="s">
        <v>77</v>
      </c>
      <c r="B150" s="4">
        <v>0.114</v>
      </c>
      <c r="C150" s="1" t="s">
        <v>68</v>
      </c>
      <c r="F150" s="2" t="s">
        <v>12</v>
      </c>
      <c r="G150" s="12">
        <f t="shared" si="41"/>
        <v>750000</v>
      </c>
      <c r="H150" s="12">
        <f>SUM(I150:Q150)</f>
        <v>85500</v>
      </c>
      <c r="I150" s="12">
        <v>40000</v>
      </c>
      <c r="J150" s="12">
        <f>3500+6000</f>
        <v>9500</v>
      </c>
      <c r="K150" s="12">
        <v>9000</v>
      </c>
      <c r="L150" s="12">
        <v>6000</v>
      </c>
      <c r="M150" s="12">
        <v>3000</v>
      </c>
      <c r="N150" s="12">
        <v>11000</v>
      </c>
      <c r="O150" s="12">
        <v>4000</v>
      </c>
      <c r="P150" s="12">
        <v>3000</v>
      </c>
      <c r="Q150" s="12"/>
    </row>
    <row r="151" spans="1:17" x14ac:dyDescent="0.2">
      <c r="A151" s="9"/>
      <c r="B151" s="5" t="s">
        <v>15</v>
      </c>
      <c r="F151" s="2" t="s">
        <v>14</v>
      </c>
      <c r="G151" s="12">
        <f>H151/1</f>
        <v>0</v>
      </c>
      <c r="H151" s="12">
        <f>SUM(I151:Q151)</f>
        <v>0</v>
      </c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17" x14ac:dyDescent="0.2">
      <c r="A152" s="9"/>
      <c r="B152" s="5">
        <v>2</v>
      </c>
      <c r="F152" s="2" t="s">
        <v>14</v>
      </c>
      <c r="G152" s="12">
        <f t="shared" ref="G152" si="43">H152/B152</f>
        <v>0</v>
      </c>
      <c r="H152" s="12">
        <f>H151+SUM(I152:Q152)</f>
        <v>0</v>
      </c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17" x14ac:dyDescent="0.2">
      <c r="A153" s="9"/>
      <c r="G153" s="12" t="e">
        <f t="shared" si="41"/>
        <v>#DIV/0!</v>
      </c>
      <c r="H153" s="12">
        <f t="shared" si="42"/>
        <v>0</v>
      </c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17" x14ac:dyDescent="0.2">
      <c r="A154" s="9" t="s">
        <v>78</v>
      </c>
      <c r="B154" s="4">
        <v>4.8600000000000003</v>
      </c>
      <c r="C154" s="1" t="s">
        <v>69</v>
      </c>
      <c r="F154" s="2" t="s">
        <v>12</v>
      </c>
      <c r="G154" s="12">
        <f t="shared" si="41"/>
        <v>15596.707818930041</v>
      </c>
      <c r="H154" s="12">
        <f>SUM(I154:Q154)</f>
        <v>75800</v>
      </c>
      <c r="I154" s="12">
        <v>30000</v>
      </c>
      <c r="J154" s="12">
        <v>4500</v>
      </c>
      <c r="K154" s="12">
        <f>1200*5+2200*5</f>
        <v>17000</v>
      </c>
      <c r="L154" s="12">
        <v>9000</v>
      </c>
      <c r="M154" s="12">
        <f>2500+1800</f>
        <v>4300</v>
      </c>
      <c r="N154" s="12">
        <v>8000</v>
      </c>
      <c r="O154" s="12"/>
      <c r="P154" s="12">
        <v>3000</v>
      </c>
      <c r="Q154" s="12"/>
    </row>
    <row r="155" spans="1:17" x14ac:dyDescent="0.2">
      <c r="A155" s="9"/>
      <c r="B155" s="5" t="s">
        <v>15</v>
      </c>
      <c r="F155" s="2" t="s">
        <v>14</v>
      </c>
      <c r="G155" s="12">
        <f>H155/1</f>
        <v>0</v>
      </c>
      <c r="H155" s="12">
        <f>SUM(I155:Q155)</f>
        <v>0</v>
      </c>
      <c r="I155" s="12"/>
      <c r="J155" s="12"/>
      <c r="K155" s="12"/>
      <c r="L155" s="12"/>
      <c r="M155" s="12"/>
      <c r="N155" s="12"/>
      <c r="O155" s="12"/>
      <c r="P155" s="12"/>
      <c r="Q155" s="12"/>
    </row>
    <row r="156" spans="1:17" x14ac:dyDescent="0.2">
      <c r="A156" s="9"/>
      <c r="B156" s="5">
        <v>2</v>
      </c>
      <c r="F156" s="2" t="s">
        <v>14</v>
      </c>
      <c r="G156" s="12">
        <f t="shared" ref="G156" si="44">H156/B156</f>
        <v>0</v>
      </c>
      <c r="H156" s="12">
        <f>H155+SUM(I156:Q156)</f>
        <v>0</v>
      </c>
      <c r="I156" s="12"/>
      <c r="J156" s="12"/>
      <c r="K156" s="12"/>
      <c r="L156" s="12"/>
      <c r="M156" s="12"/>
      <c r="N156" s="12"/>
      <c r="O156" s="12"/>
      <c r="P156" s="12"/>
      <c r="Q156" s="12"/>
    </row>
    <row r="157" spans="1:17" x14ac:dyDescent="0.2">
      <c r="A157" s="9"/>
      <c r="G157" s="12" t="e">
        <f t="shared" si="41"/>
        <v>#DIV/0!</v>
      </c>
      <c r="H157" s="12">
        <f t="shared" si="42"/>
        <v>0</v>
      </c>
      <c r="I157" s="12"/>
      <c r="J157" s="12"/>
      <c r="K157" s="12"/>
      <c r="L157" s="12"/>
      <c r="M157" s="12"/>
      <c r="N157" s="12"/>
      <c r="O157" s="12"/>
      <c r="P157" s="12"/>
      <c r="Q157" s="12"/>
    </row>
    <row r="158" spans="1:17" x14ac:dyDescent="0.2">
      <c r="A158" s="9" t="s">
        <v>79</v>
      </c>
      <c r="B158" s="4">
        <v>4.03</v>
      </c>
      <c r="C158" s="1" t="s">
        <v>70</v>
      </c>
      <c r="F158" s="2" t="s">
        <v>12</v>
      </c>
      <c r="G158" s="12">
        <f t="shared" si="41"/>
        <v>22282.878411910668</v>
      </c>
      <c r="H158" s="12">
        <f>SUM(I158:Q158)</f>
        <v>89800</v>
      </c>
      <c r="I158" s="12">
        <v>45000</v>
      </c>
      <c r="J158" s="12">
        <f>400*5+700*5</f>
        <v>5500</v>
      </c>
      <c r="K158" s="12">
        <f>1800*10</f>
        <v>18000</v>
      </c>
      <c r="L158" s="12">
        <v>8000</v>
      </c>
      <c r="M158" s="12">
        <v>3800</v>
      </c>
      <c r="N158" s="12">
        <v>7000</v>
      </c>
      <c r="O158" s="12"/>
      <c r="P158" s="12">
        <v>2500</v>
      </c>
      <c r="Q158" s="12"/>
    </row>
    <row r="159" spans="1:17" x14ac:dyDescent="0.2">
      <c r="A159" s="9"/>
      <c r="B159" s="5" t="s">
        <v>15</v>
      </c>
      <c r="F159" s="2" t="s">
        <v>14</v>
      </c>
      <c r="G159" s="12">
        <f>H159/1</f>
        <v>0</v>
      </c>
      <c r="H159" s="12">
        <f>SUM(I159:Q159)</f>
        <v>0</v>
      </c>
      <c r="I159" s="12"/>
      <c r="J159" s="12"/>
      <c r="K159" s="12"/>
      <c r="L159" s="12"/>
      <c r="M159" s="12"/>
      <c r="N159" s="12"/>
      <c r="O159" s="12"/>
      <c r="P159" s="12"/>
      <c r="Q159" s="12"/>
    </row>
    <row r="160" spans="1:17" x14ac:dyDescent="0.2">
      <c r="A160" s="9"/>
      <c r="B160" s="5">
        <v>2</v>
      </c>
      <c r="F160" s="2" t="s">
        <v>14</v>
      </c>
      <c r="G160" s="12">
        <f t="shared" ref="G160" si="45">H160/B160</f>
        <v>0</v>
      </c>
      <c r="H160" s="12">
        <f>H159+SUM(I160:Q160)</f>
        <v>0</v>
      </c>
      <c r="I160" s="12"/>
      <c r="J160" s="12"/>
      <c r="K160" s="12"/>
      <c r="L160" s="12"/>
      <c r="M160" s="12"/>
      <c r="N160" s="12"/>
      <c r="O160" s="12"/>
      <c r="P160" s="12"/>
      <c r="Q160" s="12"/>
    </row>
    <row r="161" spans="1:17" x14ac:dyDescent="0.2">
      <c r="A161" s="9"/>
      <c r="B161" s="5">
        <v>3</v>
      </c>
      <c r="G161" s="12">
        <f t="shared" si="41"/>
        <v>0</v>
      </c>
      <c r="H161" s="12">
        <f t="shared" si="42"/>
        <v>0</v>
      </c>
      <c r="I161" s="12"/>
      <c r="J161" s="12"/>
      <c r="K161" s="12"/>
      <c r="L161" s="12"/>
      <c r="M161" s="12"/>
      <c r="N161" s="12"/>
      <c r="O161" s="12"/>
      <c r="P161" s="12"/>
      <c r="Q161" s="12"/>
    </row>
    <row r="162" spans="1:17" x14ac:dyDescent="0.2">
      <c r="A162" s="9"/>
      <c r="B162" s="5">
        <v>4</v>
      </c>
      <c r="G162" s="12">
        <f t="shared" si="41"/>
        <v>0</v>
      </c>
      <c r="H162" s="12">
        <f t="shared" si="42"/>
        <v>0</v>
      </c>
      <c r="I162" s="12"/>
      <c r="J162" s="12"/>
      <c r="K162" s="12"/>
      <c r="L162" s="12"/>
      <c r="M162" s="12"/>
      <c r="N162" s="12"/>
      <c r="O162" s="12"/>
      <c r="P162" s="12"/>
      <c r="Q162" s="12"/>
    </row>
    <row r="163" spans="1:17" x14ac:dyDescent="0.2">
      <c r="A163" s="9"/>
      <c r="B163" s="5">
        <v>5</v>
      </c>
      <c r="G163" s="12">
        <f t="shared" si="41"/>
        <v>0</v>
      </c>
      <c r="H163" s="12">
        <f t="shared" si="42"/>
        <v>0</v>
      </c>
      <c r="I163" s="12"/>
      <c r="J163" s="12"/>
      <c r="K163" s="12"/>
      <c r="L163" s="12"/>
      <c r="M163" s="12"/>
      <c r="N163" s="12"/>
      <c r="O163" s="12"/>
      <c r="P163" s="12"/>
      <c r="Q163" s="12"/>
    </row>
    <row r="164" spans="1:17" x14ac:dyDescent="0.2">
      <c r="A164" s="9"/>
      <c r="B164" s="5">
        <v>6</v>
      </c>
      <c r="G164" s="12">
        <f t="shared" si="41"/>
        <v>0</v>
      </c>
      <c r="H164" s="12">
        <f t="shared" si="42"/>
        <v>0</v>
      </c>
      <c r="I164" s="12"/>
      <c r="J164" s="12"/>
      <c r="K164" s="12"/>
      <c r="L164" s="12"/>
      <c r="M164" s="12"/>
      <c r="N164" s="12"/>
      <c r="O164" s="12"/>
      <c r="P164" s="12"/>
      <c r="Q164" s="12"/>
    </row>
    <row r="165" spans="1:17" x14ac:dyDescent="0.2">
      <c r="A165" s="9"/>
    </row>
    <row r="166" spans="1:17" x14ac:dyDescent="0.2">
      <c r="A166" s="9"/>
    </row>
    <row r="167" spans="1:17" x14ac:dyDescent="0.2">
      <c r="A167" s="9"/>
    </row>
    <row r="168" spans="1:17" x14ac:dyDescent="0.2">
      <c r="A168" s="9"/>
    </row>
    <row r="169" spans="1:17" x14ac:dyDescent="0.2">
      <c r="A169" s="9"/>
    </row>
    <row r="170" spans="1:17" x14ac:dyDescent="0.2">
      <c r="A170" s="9"/>
    </row>
    <row r="171" spans="1:17" x14ac:dyDescent="0.2">
      <c r="A171" s="9"/>
    </row>
    <row r="172" spans="1:17" x14ac:dyDescent="0.2">
      <c r="A172" s="9"/>
    </row>
    <row r="173" spans="1:17" x14ac:dyDescent="0.2">
      <c r="A173" s="9"/>
    </row>
    <row r="174" spans="1:17" x14ac:dyDescent="0.2">
      <c r="A174" s="9"/>
    </row>
    <row r="175" spans="1:17" x14ac:dyDescent="0.2">
      <c r="A175" s="9"/>
    </row>
    <row r="176" spans="1:17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</sheetData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Tour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Verma</dc:creator>
  <cp:lastModifiedBy>Abhinav Verma</cp:lastModifiedBy>
  <dcterms:created xsi:type="dcterms:W3CDTF">2026-08-13T22:57:00Z</dcterms:created>
  <dcterms:modified xsi:type="dcterms:W3CDTF">2026-08-28T17:07:44Z</dcterms:modified>
</cp:coreProperties>
</file>